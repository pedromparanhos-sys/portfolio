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d98ce3cc572b5e/Documentos/"/>
    </mc:Choice>
  </mc:AlternateContent>
  <xr:revisionPtr revIDLastSave="38" documentId="8_{98549890-8178-4E4F-8A37-9B563DD94CEB}" xr6:coauthVersionLast="47" xr6:coauthVersionMax="47" xr10:uidLastSave="{88C69A8A-3DA0-48B1-B7B4-10D8498C1392}"/>
  <bookViews>
    <workbookView xWindow="-108" yWindow="-108" windowWidth="23256" windowHeight="12456" firstSheet="2" activeTab="6" xr2:uid="{618B8CF5-5277-49AA-9165-F010E46D9152}"/>
  </bookViews>
  <sheets>
    <sheet name="Premissas" sheetId="2" r:id="rId1"/>
    <sheet name="Sources &amp; Uses" sheetId="3" r:id="rId2"/>
    <sheet name="Projeções" sheetId="4" r:id="rId3"/>
    <sheet name="Debt Schedule" sheetId="5" r:id="rId4"/>
    <sheet name="Saída" sheetId="6" r:id="rId5"/>
    <sheet name="Retorno" sheetId="7" r:id="rId6"/>
    <sheet name="Sensibilidade" sheetId="8" r:id="rId7"/>
  </sheets>
  <calcPr calcId="191029" iterate="1" iterateCount="200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0" i="8" l="1"/>
  <c r="C59" i="8"/>
  <c r="C58" i="8"/>
  <c r="C57" i="8"/>
  <c r="D50" i="8"/>
  <c r="C49" i="8"/>
  <c r="C48" i="8"/>
  <c r="C47" i="8"/>
  <c r="D40" i="8"/>
  <c r="C39" i="8"/>
  <c r="C38" i="8"/>
  <c r="C37" i="8"/>
  <c r="D30" i="8"/>
  <c r="C29" i="8"/>
  <c r="C28" i="8"/>
  <c r="C27" i="8"/>
  <c r="D20" i="8"/>
  <c r="C19" i="8"/>
  <c r="C18" i="8"/>
  <c r="C17" i="8"/>
  <c r="C14" i="7"/>
  <c r="C9" i="7"/>
  <c r="C6" i="7"/>
  <c r="D6" i="7"/>
  <c r="E6" i="7"/>
  <c r="F6" i="7"/>
  <c r="G6" i="7"/>
  <c r="C14" i="6"/>
  <c r="C13" i="6"/>
  <c r="C12" i="6"/>
  <c r="C7" i="6"/>
  <c r="C6" i="6"/>
  <c r="C5" i="6"/>
  <c r="H24" i="5"/>
  <c r="G24" i="5"/>
  <c r="F24" i="5"/>
  <c r="E24" i="5"/>
  <c r="D24" i="5"/>
  <c r="H22" i="5"/>
  <c r="G22" i="5"/>
  <c r="F22" i="5"/>
  <c r="E22" i="5"/>
  <c r="D22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D12" i="5"/>
  <c r="H6" i="5"/>
  <c r="G6" i="5"/>
  <c r="F6" i="5"/>
  <c r="E6" i="5"/>
  <c r="D6" i="5"/>
  <c r="H21" i="4"/>
  <c r="G21" i="4"/>
  <c r="F21" i="4"/>
  <c r="E21" i="4"/>
  <c r="F19" i="4" s="1"/>
  <c r="F20" i="4" s="1"/>
  <c r="D21" i="4"/>
  <c r="E20" i="4"/>
  <c r="D20" i="4"/>
  <c r="H19" i="4"/>
  <c r="H20" i="4" s="1"/>
  <c r="G19" i="4"/>
  <c r="G20" i="4" s="1"/>
  <c r="E19" i="4"/>
  <c r="D19" i="4"/>
  <c r="H16" i="4"/>
  <c r="G16" i="4"/>
  <c r="F16" i="4"/>
  <c r="E16" i="4"/>
  <c r="D16" i="4"/>
  <c r="H15" i="4"/>
  <c r="G15" i="4"/>
  <c r="F15" i="4"/>
  <c r="E15" i="4"/>
  <c r="D15" i="4"/>
  <c r="H14" i="4"/>
  <c r="G14" i="4"/>
  <c r="F14" i="4"/>
  <c r="E14" i="4"/>
  <c r="D14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H6" i="4"/>
  <c r="G6" i="4"/>
  <c r="F6" i="4"/>
  <c r="E6" i="4"/>
  <c r="D6" i="4"/>
  <c r="C6" i="4"/>
  <c r="C25" i="3"/>
  <c r="C24" i="3"/>
  <c r="C23" i="3"/>
  <c r="C20" i="3"/>
  <c r="C19" i="3"/>
  <c r="C18" i="3"/>
  <c r="C15" i="3"/>
  <c r="C14" i="3"/>
  <c r="C13" i="3"/>
  <c r="C12" i="3"/>
  <c r="C9" i="3"/>
  <c r="C8" i="3"/>
  <c r="C7" i="3"/>
  <c r="C6" i="3"/>
  <c r="C5" i="3"/>
  <c r="C19" i="2"/>
  <c r="C7" i="2"/>
  <c r="D7" i="5"/>
  <c r="E7" i="5"/>
  <c r="F7" i="5"/>
  <c r="G7" i="5"/>
  <c r="H7" i="5"/>
  <c r="D8" i="5"/>
  <c r="E8" i="5"/>
  <c r="F8" i="5"/>
  <c r="G8" i="5"/>
  <c r="H8" i="5"/>
  <c r="D9" i="5"/>
  <c r="E9" i="5"/>
  <c r="F9" i="5"/>
  <c r="G9" i="5"/>
  <c r="H9" i="5"/>
  <c r="E12" i="5"/>
  <c r="F12" i="5"/>
  <c r="G12" i="5"/>
  <c r="H12" i="5"/>
  <c r="D13" i="5"/>
  <c r="E13" i="5"/>
  <c r="F13" i="5"/>
  <c r="G13" i="5"/>
  <c r="H13" i="5"/>
  <c r="D19" i="5"/>
  <c r="E19" i="5"/>
  <c r="F19" i="5"/>
  <c r="G19" i="5"/>
  <c r="H19" i="5"/>
  <c r="D20" i="5"/>
  <c r="E20" i="5"/>
  <c r="F20" i="5"/>
  <c r="G20" i="5"/>
  <c r="H20" i="5"/>
  <c r="D21" i="5"/>
  <c r="E21" i="5"/>
  <c r="F21" i="5"/>
  <c r="G21" i="5"/>
  <c r="H21" i="5"/>
  <c r="D23" i="5"/>
  <c r="E23" i="5"/>
  <c r="F23" i="5"/>
  <c r="G23" i="5"/>
  <c r="H23" i="5"/>
  <c r="D25" i="5"/>
  <c r="E25" i="5"/>
  <c r="F25" i="5"/>
  <c r="G25" i="5"/>
  <c r="H25" i="5"/>
  <c r="D26" i="5"/>
  <c r="E26" i="5"/>
  <c r="F26" i="5"/>
  <c r="G26" i="5"/>
  <c r="H26" i="5"/>
  <c r="H6" i="7"/>
  <c r="C10" i="7"/>
  <c r="C11" i="7"/>
  <c r="C12" i="7"/>
  <c r="C13" i="7"/>
  <c r="C8" i="6"/>
  <c r="C9" i="6"/>
  <c r="C5" i="8"/>
  <c r="D5" i="8"/>
  <c r="E5" i="8"/>
  <c r="F5" i="8"/>
  <c r="G5" i="8"/>
  <c r="C6" i="8"/>
  <c r="D6" i="8"/>
  <c r="E6" i="8"/>
  <c r="F6" i="8"/>
  <c r="G6" i="8"/>
  <c r="C7" i="8"/>
  <c r="D7" i="8"/>
  <c r="E7" i="8"/>
  <c r="F7" i="8"/>
  <c r="G7" i="8"/>
  <c r="C8" i="8"/>
  <c r="D8" i="8"/>
  <c r="E8" i="8"/>
  <c r="F8" i="8"/>
  <c r="G8" i="8"/>
  <c r="C9" i="8"/>
  <c r="D9" i="8"/>
  <c r="E9" i="8"/>
  <c r="F9" i="8"/>
  <c r="G9" i="8"/>
  <c r="E20" i="8"/>
  <c r="F20" i="8"/>
  <c r="G20" i="8"/>
  <c r="H20" i="8"/>
  <c r="D21" i="8"/>
  <c r="E21" i="8"/>
  <c r="F21" i="8"/>
  <c r="G21" i="8"/>
  <c r="H21" i="8"/>
  <c r="D22" i="8"/>
  <c r="E22" i="8"/>
  <c r="F22" i="8"/>
  <c r="G22" i="8"/>
  <c r="H22" i="8"/>
  <c r="D23" i="8"/>
  <c r="E23" i="8"/>
  <c r="F23" i="8"/>
  <c r="G23" i="8"/>
  <c r="H23" i="8"/>
  <c r="D24" i="8"/>
  <c r="E24" i="8"/>
  <c r="F24" i="8"/>
  <c r="G24" i="8"/>
  <c r="H24" i="8"/>
  <c r="D25" i="8"/>
  <c r="E25" i="8"/>
  <c r="F25" i="8"/>
  <c r="G25" i="8"/>
  <c r="H25" i="8"/>
  <c r="E30" i="8"/>
  <c r="F30" i="8"/>
  <c r="G30" i="8"/>
  <c r="H30" i="8"/>
  <c r="D31" i="8"/>
  <c r="E31" i="8"/>
  <c r="F31" i="8"/>
  <c r="G31" i="8"/>
  <c r="H31" i="8"/>
  <c r="D32" i="8"/>
  <c r="E32" i="8"/>
  <c r="F32" i="8"/>
  <c r="G32" i="8"/>
  <c r="H32" i="8"/>
  <c r="D33" i="8"/>
  <c r="E33" i="8"/>
  <c r="F33" i="8"/>
  <c r="G33" i="8"/>
  <c r="H33" i="8"/>
  <c r="D34" i="8"/>
  <c r="E34" i="8"/>
  <c r="F34" i="8"/>
  <c r="G34" i="8"/>
  <c r="H34" i="8"/>
  <c r="D35" i="8"/>
  <c r="E35" i="8"/>
  <c r="F35" i="8"/>
  <c r="G35" i="8"/>
  <c r="H35" i="8"/>
  <c r="E40" i="8"/>
  <c r="F40" i="8"/>
  <c r="G40" i="8"/>
  <c r="H40" i="8"/>
  <c r="D41" i="8"/>
  <c r="E41" i="8"/>
  <c r="F41" i="8"/>
  <c r="G41" i="8"/>
  <c r="H41" i="8"/>
  <c r="D42" i="8"/>
  <c r="E42" i="8"/>
  <c r="F42" i="8"/>
  <c r="G42" i="8"/>
  <c r="H42" i="8"/>
  <c r="D43" i="8"/>
  <c r="E43" i="8"/>
  <c r="F43" i="8"/>
  <c r="G43" i="8"/>
  <c r="H43" i="8"/>
  <c r="D44" i="8"/>
  <c r="E44" i="8"/>
  <c r="F44" i="8"/>
  <c r="G44" i="8"/>
  <c r="H44" i="8"/>
  <c r="D45" i="8"/>
  <c r="E45" i="8"/>
  <c r="F45" i="8"/>
  <c r="G45" i="8"/>
  <c r="H45" i="8"/>
  <c r="E50" i="8"/>
  <c r="F50" i="8"/>
  <c r="G50" i="8"/>
  <c r="H50" i="8"/>
  <c r="D51" i="8"/>
  <c r="E51" i="8"/>
  <c r="F51" i="8"/>
  <c r="G51" i="8"/>
  <c r="H51" i="8"/>
  <c r="D52" i="8"/>
  <c r="E52" i="8"/>
  <c r="F52" i="8"/>
  <c r="G52" i="8"/>
  <c r="H52" i="8"/>
  <c r="D53" i="8"/>
  <c r="E53" i="8"/>
  <c r="F53" i="8"/>
  <c r="G53" i="8"/>
  <c r="H53" i="8"/>
  <c r="D54" i="8"/>
  <c r="E54" i="8"/>
  <c r="F54" i="8"/>
  <c r="G54" i="8"/>
  <c r="H54" i="8"/>
  <c r="D55" i="8"/>
  <c r="E55" i="8"/>
  <c r="F55" i="8"/>
  <c r="G55" i="8"/>
  <c r="H55" i="8"/>
  <c r="E60" i="8"/>
  <c r="F60" i="8"/>
  <c r="G60" i="8"/>
  <c r="H60" i="8"/>
  <c r="D61" i="8"/>
  <c r="E61" i="8"/>
  <c r="F61" i="8"/>
  <c r="G61" i="8"/>
  <c r="H61" i="8"/>
  <c r="D62" i="8"/>
  <c r="E62" i="8"/>
  <c r="F62" i="8"/>
  <c r="G62" i="8"/>
  <c r="H62" i="8"/>
  <c r="D63" i="8"/>
  <c r="E63" i="8"/>
  <c r="F63" i="8"/>
  <c r="G63" i="8"/>
  <c r="H63" i="8"/>
  <c r="D64" i="8"/>
  <c r="E64" i="8"/>
  <c r="F64" i="8"/>
  <c r="G64" i="8"/>
  <c r="H64" i="8"/>
  <c r="D65" i="8"/>
  <c r="E65" i="8"/>
  <c r="F65" i="8"/>
  <c r="G65" i="8"/>
  <c r="H65" i="8"/>
</calcChain>
</file>

<file path=xl/sharedStrings.xml><?xml version="1.0" encoding="utf-8"?>
<sst xmlns="http://schemas.openxmlformats.org/spreadsheetml/2006/main" count="226" uniqueCount="141">
  <si>
    <t>Aba 1 — Premissas | Valores em R$ mil, salvo indicação</t>
  </si>
  <si>
    <t>1. BASE OPERACIONAL</t>
  </si>
  <si>
    <t>EBITDA base (3T25 LTM)</t>
  </si>
  <si>
    <t>Input</t>
  </si>
  <si>
    <t>Margem EBITDA histórica (média 2022-2025)</t>
  </si>
  <si>
    <t>Receita base implícita (Ano 0)</t>
  </si>
  <si>
    <t>EBITDA base / margem histórica</t>
  </si>
  <si>
    <t>2. PREMISSAS DE TRANSAÇÃO</t>
  </si>
  <si>
    <t>Múltiplo de entrada (EV/EBITDA)</t>
  </si>
  <si>
    <t>Múltiplo de saída (caso base)</t>
  </si>
  <si>
    <t>Dívida líquida existente (ex-arrendamento) — a refinanciar</t>
  </si>
  <si>
    <t>Alavancagem inicial pós-transação (Dív. Nova / EBITDA)</t>
  </si>
  <si>
    <t>Taxas de transação (% do Enterprise Value)</t>
  </si>
  <si>
    <t>3. FINANCIAMENTO</t>
  </si>
  <si>
    <t>CDI (a.a.)</t>
  </si>
  <si>
    <t>Input editável</t>
  </si>
  <si>
    <t>Spread da dívida nova (a.a.)</t>
  </si>
  <si>
    <t>Custo total da dívida nova (a.a.)</t>
  </si>
  <si>
    <t>CDI + spread</t>
  </si>
  <si>
    <t>% do caixa excedente destinado ao cash sweep</t>
  </si>
  <si>
    <t>4. PREMISSAS DE PROJEÇÃO (5 ANOS)</t>
  </si>
  <si>
    <t>Horizonte de investimento (anos)</t>
  </si>
  <si>
    <t>Crescimento de receita (a.a.)</t>
  </si>
  <si>
    <t>Conservador vs. histórico de 23,9% (inflado por M&amp;A)</t>
  </si>
  <si>
    <t>Margem EBITDA projetada</t>
  </si>
  <si>
    <t>Mantida constante nos 5 anos</t>
  </si>
  <si>
    <t>Capex (% da receita)</t>
  </si>
  <si>
    <t>Média histórica</t>
  </si>
  <si>
    <t>Variação de capital de giro (% da Δ receita)</t>
  </si>
  <si>
    <t>Depreciação &amp; amortização (% da receita)</t>
  </si>
  <si>
    <t>Alíquota efetiva de imposto de renda</t>
  </si>
  <si>
    <t>5. ARRENDAMENTO (IFRS 16) — FORA DA DÍVIDA DE AQUISIÇÃO</t>
  </si>
  <si>
    <t>Passivo de arrendamento (saldo inicial)</t>
  </si>
  <si>
    <t>Pagamento anual (% do saldo de abertura)</t>
  </si>
  <si>
    <t>FLEURY S.A. (FLRY3) — ABA 2: SOURCES &amp; USES</t>
  </si>
  <si>
    <t>Valores em R$ mil | Verde = link para outra aba</t>
  </si>
  <si>
    <t>A. AVALIAÇÃO DE ENTRADA</t>
  </si>
  <si>
    <t>Enterprise Value de entrada</t>
  </si>
  <si>
    <t>(−) Dívida líquida existente</t>
  </si>
  <si>
    <t>Equity Value a pagar aos acionistas</t>
  </si>
  <si>
    <t>B. USOS DE RECURSOS</t>
  </si>
  <si>
    <t>Compra do equity</t>
  </si>
  <si>
    <t>Refinanciamento da dívida existente</t>
  </si>
  <si>
    <t>Taxas de transação</t>
  </si>
  <si>
    <t>TOTAL DE USOS</t>
  </si>
  <si>
    <t>C. FONTES DE RECURSOS</t>
  </si>
  <si>
    <t>Dívida nova (alavancagem × EBITDA)</t>
  </si>
  <si>
    <t>Equity do sponsor (plug)</t>
  </si>
  <si>
    <t>TOTAL DE FONTES</t>
  </si>
  <si>
    <t>D. CHECAGENS</t>
  </si>
  <si>
    <t>Fontes − Usos (deve ser zero)</t>
  </si>
  <si>
    <t>Alavancagem implícita (Dív. Nova / EBITDA)</t>
  </si>
  <si>
    <t>Equity como % do total de fontes</t>
  </si>
  <si>
    <t>FLEURY S.A. (FLRY3) — ABA 3: PROJEÇÕES OPERACIONAIS</t>
  </si>
  <si>
    <t>Valores em R$ mil | Todas as premissas puxadas da Aba 1</t>
  </si>
  <si>
    <t>Ano 0</t>
  </si>
  <si>
    <t>Ano 1</t>
  </si>
  <si>
    <t>Ano 2</t>
  </si>
  <si>
    <t>Ano 3</t>
  </si>
  <si>
    <t>Ano 4</t>
  </si>
  <si>
    <t>Ano 5</t>
  </si>
  <si>
    <t>Demonstrativo projetado</t>
  </si>
  <si>
    <t>RECEITA E EBITDA</t>
  </si>
  <si>
    <t>Receita líquida</t>
  </si>
  <si>
    <t>Crescimento (%)</t>
  </si>
  <si>
    <t>EBITDA</t>
  </si>
  <si>
    <t>Margem EBITDA (%)</t>
  </si>
  <si>
    <t>(−) Depreciação &amp; amortização</t>
  </si>
  <si>
    <t>EBIT</t>
  </si>
  <si>
    <t>ITENS DE CAIXA</t>
  </si>
  <si>
    <t>Capex</t>
  </si>
  <si>
    <t>Δ Receita vs. ano anterior</t>
  </si>
  <si>
    <t>Variação de capital de giro (saída de caixa)</t>
  </si>
  <si>
    <t>ARRENDAMENTO (IFRS 16)</t>
  </si>
  <si>
    <t>Saldo inicial do arrendamento</t>
  </si>
  <si>
    <t>Pagamento anual de arrendamento</t>
  </si>
  <si>
    <t>Saldo final do arrendamento</t>
  </si>
  <si>
    <t>FLEURY S.A. (FLRY3) — ABA 4: DEBT SCHEDULE E CASH SWEEP</t>
  </si>
  <si>
    <t>Valores em R$ mil | Juros sobre SALDO MÉDIO — requer cálculo iterativo (já habilitado)</t>
  </si>
  <si>
    <t>Cascata de dívida</t>
  </si>
  <si>
    <t>IMPOSTO DE RENDA</t>
  </si>
  <si>
    <t>EBIT (Aba 3)</t>
  </si>
  <si>
    <t>(−) Juros sobre a dívida nova</t>
  </si>
  <si>
    <t>LAIR</t>
  </si>
  <si>
    <t>Impostos sobre o lucro</t>
  </si>
  <si>
    <t>DÍVIDA E JUROS</t>
  </si>
  <si>
    <t>Saldo devedor inicial</t>
  </si>
  <si>
    <t>Juros do período (sobre saldo médio)</t>
  </si>
  <si>
    <t>CAIXA DISPONÍVEL PARA CASH SWEEP</t>
  </si>
  <si>
    <t>EBITDA (Aba 3)</t>
  </si>
  <si>
    <t>(−) Capex (Aba 3)</t>
  </si>
  <si>
    <t>(−) Variação de capital de giro (Aba 3)</t>
  </si>
  <si>
    <t>Saldo devedor final</t>
  </si>
  <si>
    <t>(−) Juros pagos</t>
  </si>
  <si>
    <t>(−) Impostos pagos</t>
  </si>
  <si>
    <t>(−) Pagamento de arrendamento (Aba 3)</t>
  </si>
  <si>
    <t>Caixa disponível para cash sweep</t>
  </si>
  <si>
    <t>% destinado ao cash sweep</t>
  </si>
  <si>
    <t>Amortização (cash sweep)</t>
  </si>
  <si>
    <t>Alavancagem final (Dív. / EBITDA)</t>
  </si>
  <si>
    <t>FLEURY S.A. (FLRY3) — ABA 5: CÁLCULO DE SAÍDA (ANO 5)</t>
  </si>
  <si>
    <t>Valores em R$ mil</t>
  </si>
  <si>
    <t>SAÍDA NO ANO 5</t>
  </si>
  <si>
    <t>EBITDA do Ano 5 (Aba 3)</t>
  </si>
  <si>
    <t>Múltiplo de saída (Aba 1)</t>
  </si>
  <si>
    <t>Enterprise Value de saída</t>
  </si>
  <si>
    <t>(−) Saldo devedor remanescente no Ano 5 (Aba 4)</t>
  </si>
  <si>
    <t>EQUITY VALUE DE SAÍDA</t>
  </si>
  <si>
    <t>MÉTRICAS DE REFERÊNCIA</t>
  </si>
  <si>
    <t>Múltiplo de entrada (Aba 1)</t>
  </si>
  <si>
    <t>Expansão/compressão de múltiplo</t>
  </si>
  <si>
    <t>Crescimento do EBITDA vs. base (Aba 3)</t>
  </si>
  <si>
    <t>FLEURY S.A. (FLRY3) — ABA 6: WATERFALL DE RETORNO DO SPONSOR</t>
  </si>
  <si>
    <t>FLUXO DE CAIXA DO EQUITY DO SPONSOR</t>
  </si>
  <si>
    <t>Período</t>
  </si>
  <si>
    <t>Fluxo de caixa do sponsor</t>
  </si>
  <si>
    <t>RETORNOS</t>
  </si>
  <si>
    <t>Equity investido pelo sponsor no Ano 0 (Aba 2)</t>
  </si>
  <si>
    <t>Equity Value de saída no Ano 5 (Aba 5)</t>
  </si>
  <si>
    <t>Ganho de capital</t>
  </si>
  <si>
    <t>MOIC (múltiplo do capital investido)</t>
  </si>
  <si>
    <t>TIR / IRR (5 anos)</t>
  </si>
  <si>
    <t>Horizonte (Aba 1)</t>
  </si>
  <si>
    <t>FLEURY S.A. (FLRY3) — ABA 7: SENSIBILIDADE DA TIR</t>
  </si>
  <si>
    <t>Múltiplo de saída (linhas) × Alavancagem inicial (colunas) | motor de cálculo replica a Aba 4 para cada alavancagem</t>
  </si>
  <si>
    <t>TIR — Saída (x) \ Alavanc. (x)</t>
  </si>
  <si>
    <t>MOTOR DE CÁLCULO — CASCATA DE DÍVIDA POR NÍVEL DE ALAVANCAGEM</t>
  </si>
  <si>
    <t>Caso 1 — Alavancagem inicial</t>
  </si>
  <si>
    <t xml:space="preserve">  Dívida nova</t>
  </si>
  <si>
    <t xml:space="preserve">  Equity do sponsor</t>
  </si>
  <si>
    <t xml:space="preserve">  Saldo devedor inicial</t>
  </si>
  <si>
    <t xml:space="preserve">  Juros (saldo médio)</t>
  </si>
  <si>
    <t xml:space="preserve">  Impostos</t>
  </si>
  <si>
    <t xml:space="preserve">  Caixa disponível p/ sweep</t>
  </si>
  <si>
    <t xml:space="preserve">  Amortização (sweep)</t>
  </si>
  <si>
    <t xml:space="preserve">  Saldo devedor final</t>
  </si>
  <si>
    <t>Caso 2 — Alavancagem inicial</t>
  </si>
  <si>
    <t>Caso 3 — Alavancagem inicial</t>
  </si>
  <si>
    <t>Caso 4 — Alavancagem inicial</t>
  </si>
  <si>
    <t>Caso 5 — Alavancagem inicial</t>
  </si>
  <si>
    <t>Caso base do modelo: alavancagem 4,50x × múltiplo de saída 6,25x — célula central destacada em E7, que deve igualar a TIR da Aba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</si>
</sst>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&quot;R$&quot;\ #,##0;\(\R&quot;R$&quot;\ #,##0\);&quot;-&quot;"/>
    <numFmt numFmtId="165" formatCode="0.0%"/>
    <numFmt numFmtId="166" formatCode="0.00&quot;x&quot;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b/>
      <i/>
      <sz val="11"/>
      <color rgb="FF808080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4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0" borderId="1" xfId="0" applyBorder="1"/>
    <xf numFmtId="0" fontId="0" fillId="0" borderId="3" xfId="0" applyBorder="1"/>
    <xf numFmtId="164" fontId="5" fillId="0" borderId="3" xfId="0" applyNumberFormat="1" applyFont="1" applyBorder="1"/>
    <xf numFmtId="0" fontId="0" fillId="0" borderId="4" xfId="0" applyBorder="1"/>
    <xf numFmtId="165" fontId="5" fillId="0" borderId="4" xfId="0" applyNumberFormat="1" applyFont="1" applyBorder="1"/>
    <xf numFmtId="164" fontId="7" fillId="0" borderId="4" xfId="0" applyNumberFormat="1" applyFont="1" applyBorder="1"/>
    <xf numFmtId="0" fontId="4" fillId="2" borderId="4" xfId="0" applyFont="1" applyFill="1" applyBorder="1"/>
    <xf numFmtId="166" fontId="5" fillId="0" borderId="4" xfId="0" applyNumberFormat="1" applyFont="1" applyBorder="1"/>
    <xf numFmtId="164" fontId="5" fillId="0" borderId="4" xfId="0" applyNumberFormat="1" applyFont="1" applyBorder="1"/>
    <xf numFmtId="165" fontId="7" fillId="0" borderId="4" xfId="0" applyNumberFormat="1" applyFont="1" applyBorder="1"/>
    <xf numFmtId="1" fontId="5" fillId="0" borderId="4" xfId="0" applyNumberFormat="1" applyFont="1" applyBorder="1"/>
    <xf numFmtId="0" fontId="4" fillId="2" borderId="5" xfId="0" applyFont="1" applyFill="1" applyBorder="1"/>
    <xf numFmtId="0" fontId="0" fillId="0" borderId="6" xfId="0" applyBorder="1"/>
    <xf numFmtId="0" fontId="0" fillId="0" borderId="7" xfId="0" applyBorder="1"/>
    <xf numFmtId="0" fontId="4" fillId="2" borderId="7" xfId="0" applyFont="1" applyFill="1" applyBorder="1"/>
    <xf numFmtId="0" fontId="4" fillId="2" borderId="8" xfId="0" applyFont="1" applyFill="1" applyBorder="1"/>
    <xf numFmtId="0" fontId="0" fillId="0" borderId="9" xfId="0" applyBorder="1"/>
    <xf numFmtId="0" fontId="0" fillId="0" borderId="10" xfId="0" applyBorder="1"/>
    <xf numFmtId="0" fontId="4" fillId="2" borderId="10" xfId="0" applyFont="1" applyFill="1" applyBorder="1"/>
    <xf numFmtId="0" fontId="0" fillId="0" borderId="11" xfId="0" applyBorder="1"/>
    <xf numFmtId="0" fontId="0" fillId="0" borderId="12" xfId="0" applyBorder="1"/>
    <xf numFmtId="165" fontId="5" fillId="0" borderId="12" xfId="0" applyNumberFormat="1" applyFont="1" applyBorder="1"/>
    <xf numFmtId="0" fontId="0" fillId="0" borderId="13" xfId="0" applyBorder="1"/>
    <xf numFmtId="0" fontId="8" fillId="0" borderId="9" xfId="0" applyFont="1" applyBorder="1"/>
    <xf numFmtId="0" fontId="8" fillId="0" borderId="10" xfId="0" applyFont="1" applyBorder="1"/>
    <xf numFmtId="0" fontId="9" fillId="2" borderId="10" xfId="0" applyFont="1" applyFill="1" applyBorder="1"/>
    <xf numFmtId="0" fontId="8" fillId="0" borderId="13" xfId="0" applyFont="1" applyBorder="1"/>
    <xf numFmtId="164" fontId="10" fillId="0" borderId="3" xfId="0" applyNumberFormat="1" applyFont="1" applyBorder="1"/>
    <xf numFmtId="164" fontId="10" fillId="0" borderId="4" xfId="0" applyNumberFormat="1" applyFont="1" applyBorder="1"/>
    <xf numFmtId="164" fontId="6" fillId="0" borderId="4" xfId="0" applyNumberFormat="1" applyFont="1" applyBorder="1"/>
    <xf numFmtId="164" fontId="10" fillId="0" borderId="9" xfId="0" applyNumberFormat="1" applyFont="1" applyBorder="1"/>
    <xf numFmtId="166" fontId="10" fillId="0" borderId="10" xfId="0" applyNumberFormat="1" applyFont="1" applyBorder="1"/>
    <xf numFmtId="164" fontId="7" fillId="0" borderId="10" xfId="0" applyNumberFormat="1" applyFont="1" applyBorder="1"/>
    <xf numFmtId="164" fontId="10" fillId="0" borderId="10" xfId="0" applyNumberFormat="1" applyFont="1" applyBorder="1"/>
    <xf numFmtId="164" fontId="6" fillId="0" borderId="10" xfId="0" applyNumberFormat="1" applyFont="1" applyBorder="1"/>
    <xf numFmtId="166" fontId="6" fillId="0" borderId="10" xfId="0" applyNumberFormat="1" applyFont="1" applyBorder="1"/>
    <xf numFmtId="165" fontId="6" fillId="0" borderId="13" xfId="0" applyNumberFormat="1" applyFont="1" applyBorder="1"/>
    <xf numFmtId="164" fontId="7" fillId="3" borderId="10" xfId="0" applyNumberFormat="1" applyFont="1" applyFill="1" applyBorder="1"/>
    <xf numFmtId="164" fontId="6" fillId="4" borderId="10" xfId="0" applyNumberFormat="1" applyFont="1" applyFill="1" applyBorder="1"/>
    <xf numFmtId="164" fontId="7" fillId="0" borderId="1" xfId="0" applyNumberFormat="1" applyFont="1" applyBorder="1"/>
    <xf numFmtId="164" fontId="7" fillId="0" borderId="3" xfId="0" applyNumberFormat="1" applyFont="1" applyBorder="1"/>
    <xf numFmtId="165" fontId="6" fillId="0" borderId="4" xfId="0" applyNumberFormat="1" applyFont="1" applyBorder="1"/>
    <xf numFmtId="0" fontId="1" fillId="3" borderId="5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7" fillId="0" borderId="9" xfId="0" applyNumberFormat="1" applyFont="1" applyBorder="1"/>
    <xf numFmtId="165" fontId="6" fillId="0" borderId="10" xfId="0" applyNumberFormat="1" applyFont="1" applyBorder="1"/>
    <xf numFmtId="164" fontId="6" fillId="0" borderId="12" xfId="0" applyNumberFormat="1" applyFont="1" applyBorder="1"/>
    <xf numFmtId="164" fontId="6" fillId="0" borderId="13" xfId="0" applyNumberFormat="1" applyFont="1" applyBorder="1"/>
    <xf numFmtId="0" fontId="11" fillId="0" borderId="0" xfId="0" applyFont="1"/>
    <xf numFmtId="164" fontId="7" fillId="4" borderId="4" xfId="0" applyNumberFormat="1" applyFont="1" applyFill="1" applyBorder="1"/>
    <xf numFmtId="165" fontId="10" fillId="0" borderId="4" xfId="0" applyNumberFormat="1" applyFont="1" applyBorder="1"/>
    <xf numFmtId="0" fontId="0" fillId="4" borderId="7" xfId="0" applyFill="1" applyBorder="1"/>
    <xf numFmtId="164" fontId="7" fillId="4" borderId="10" xfId="0" applyNumberFormat="1" applyFont="1" applyFill="1" applyBorder="1"/>
    <xf numFmtId="165" fontId="10" fillId="0" borderId="10" xfId="0" applyNumberFormat="1" applyFont="1" applyBorder="1"/>
    <xf numFmtId="166" fontId="6" fillId="0" borderId="12" xfId="0" applyNumberFormat="1" applyFont="1" applyBorder="1"/>
    <xf numFmtId="166" fontId="6" fillId="0" borderId="13" xfId="0" applyNumberFormat="1" applyFont="1" applyBorder="1"/>
    <xf numFmtId="166" fontId="7" fillId="4" borderId="4" xfId="0" applyNumberFormat="1" applyFont="1" applyFill="1" applyBorder="1"/>
    <xf numFmtId="165" fontId="7" fillId="4" borderId="4" xfId="0" applyNumberFormat="1" applyFont="1" applyFill="1" applyBorder="1"/>
    <xf numFmtId="0" fontId="0" fillId="0" borderId="5" xfId="0" applyBorder="1"/>
    <xf numFmtId="164" fontId="12" fillId="0" borderId="0" xfId="0" applyNumberFormat="1" applyFont="1"/>
    <xf numFmtId="164" fontId="1" fillId="0" borderId="0" xfId="0" applyNumberFormat="1" applyFont="1"/>
    <xf numFmtId="164" fontId="12" fillId="0" borderId="8" xfId="0" applyNumberFormat="1" applyFont="1" applyBorder="1"/>
    <xf numFmtId="0" fontId="0" fillId="0" borderId="8" xfId="0" applyBorder="1"/>
    <xf numFmtId="1" fontId="10" fillId="0" borderId="12" xfId="0" applyNumberFormat="1" applyFont="1" applyBorder="1"/>
    <xf numFmtId="164" fontId="6" fillId="0" borderId="0" xfId="0" applyNumberFormat="1" applyFont="1"/>
    <xf numFmtId="164" fontId="7" fillId="0" borderId="0" xfId="0" applyNumberFormat="1" applyFont="1"/>
    <xf numFmtId="164" fontId="6" fillId="0" borderId="8" xfId="0" applyNumberFormat="1" applyFont="1" applyBorder="1"/>
    <xf numFmtId="0" fontId="0" fillId="0" borderId="14" xfId="0" applyBorder="1"/>
    <xf numFmtId="164" fontId="7" fillId="0" borderId="15" xfId="0" applyNumberFormat="1" applyFont="1" applyBorder="1"/>
    <xf numFmtId="0" fontId="1" fillId="5" borderId="17" xfId="0" applyFont="1" applyFill="1" applyBorder="1"/>
    <xf numFmtId="0" fontId="0" fillId="5" borderId="2" xfId="0" applyFill="1" applyBorder="1"/>
    <xf numFmtId="166" fontId="7" fillId="5" borderId="2" xfId="0" applyNumberFormat="1" applyFont="1" applyFill="1" applyBorder="1"/>
    <xf numFmtId="0" fontId="1" fillId="5" borderId="2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6" fontId="13" fillId="3" borderId="16" xfId="0" applyNumberFormat="1" applyFont="1" applyFill="1" applyBorder="1" applyAlignment="1">
      <alignment horizontal="center"/>
    </xf>
    <xf numFmtId="166" fontId="13" fillId="3" borderId="16" xfId="0" applyNumberFormat="1" applyFont="1" applyFill="1" applyBorder="1"/>
    <xf numFmtId="165" fontId="6" fillId="0" borderId="16" xfId="0" applyNumberFormat="1" applyFont="1" applyBorder="1" applyAlignment="1">
      <alignment horizontal="center"/>
    </xf>
    <xf numFmtId="166" fontId="13" fillId="4" borderId="16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165" fontId="7" fillId="4" borderId="16" xfId="0" applyNumberFormat="1" applyFont="1" applyFill="1" applyBorder="1" applyAlignment="1">
      <alignment horizontal="center"/>
    </xf>
    <xf numFmtId="166" fontId="13" fillId="4" borderId="16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C6A809-1C51-4504-93E4-241C8590341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bb8db8d-8af3-4949-a4c4-5cef371a3e3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207B-B022-465C-9E11-87111FBAEBF8}">
  <dimension ref="A1:D33"/>
  <sheetViews>
    <sheetView workbookViewId="0"/>
  </sheetViews>
  <sheetFormatPr defaultRowHeight="14.4" x14ac:dyDescent="0.3"/>
  <cols>
    <col min="1" max="1" width="61.109375" customWidth="1"/>
    <col min="2" max="2" width="2.77734375" customWidth="1"/>
    <col min="3" max="3" width="20.33203125" customWidth="1"/>
    <col min="4" max="4" width="55.5546875" customWidth="1"/>
  </cols>
  <sheetData>
    <row r="1" spans="1:4" ht="18" x14ac:dyDescent="0.35">
      <c r="A1" s="1">
        <v>12500</v>
      </c>
    </row>
    <row r="2" spans="1:4" x14ac:dyDescent="0.3">
      <c r="A2" s="2" t="s">
        <v>0</v>
      </c>
    </row>
    <row r="4" spans="1:4" x14ac:dyDescent="0.3">
      <c r="A4" s="15" t="s">
        <v>1</v>
      </c>
      <c r="B4" s="3"/>
      <c r="C4" s="3"/>
      <c r="D4" s="19"/>
    </row>
    <row r="5" spans="1:4" x14ac:dyDescent="0.3">
      <c r="A5" s="16" t="s">
        <v>2</v>
      </c>
      <c r="B5" s="5"/>
      <c r="C5" s="6">
        <v>2190000</v>
      </c>
      <c r="D5" s="27" t="s">
        <v>3</v>
      </c>
    </row>
    <row r="6" spans="1:4" x14ac:dyDescent="0.3">
      <c r="A6" s="17" t="s">
        <v>4</v>
      </c>
      <c r="B6" s="7"/>
      <c r="C6" s="8">
        <v>0.27700000000000002</v>
      </c>
      <c r="D6" s="28" t="s">
        <v>3</v>
      </c>
    </row>
    <row r="7" spans="1:4" x14ac:dyDescent="0.3">
      <c r="A7" s="17" t="s">
        <v>5</v>
      </c>
      <c r="B7" s="7"/>
      <c r="C7" s="9">
        <f>C5/C6</f>
        <v>7906137.1841155225</v>
      </c>
      <c r="D7" s="28" t="s">
        <v>6</v>
      </c>
    </row>
    <row r="8" spans="1:4" x14ac:dyDescent="0.3">
      <c r="A8" s="17"/>
      <c r="B8" s="7"/>
      <c r="C8" s="7"/>
      <c r="D8" s="28"/>
    </row>
    <row r="9" spans="1:4" x14ac:dyDescent="0.3">
      <c r="A9" s="18" t="s">
        <v>7</v>
      </c>
      <c r="B9" s="10"/>
      <c r="C9" s="10"/>
      <c r="D9" s="29"/>
    </row>
    <row r="10" spans="1:4" x14ac:dyDescent="0.3">
      <c r="A10" s="17" t="s">
        <v>8</v>
      </c>
      <c r="B10" s="7"/>
      <c r="C10" s="11">
        <v>6.25</v>
      </c>
      <c r="D10" s="28" t="s">
        <v>3</v>
      </c>
    </row>
    <row r="11" spans="1:4" x14ac:dyDescent="0.3">
      <c r="A11" s="17" t="s">
        <v>9</v>
      </c>
      <c r="B11" s="7"/>
      <c r="C11" s="11">
        <v>6.25</v>
      </c>
      <c r="D11" s="28" t="s">
        <v>3</v>
      </c>
    </row>
    <row r="12" spans="1:4" x14ac:dyDescent="0.3">
      <c r="A12" s="17" t="s">
        <v>10</v>
      </c>
      <c r="B12" s="7"/>
      <c r="C12" s="12">
        <v>1630000</v>
      </c>
      <c r="D12" s="28" t="s">
        <v>3</v>
      </c>
    </row>
    <row r="13" spans="1:4" x14ac:dyDescent="0.3">
      <c r="A13" s="17" t="s">
        <v>11</v>
      </c>
      <c r="B13" s="7"/>
      <c r="C13" s="11">
        <v>4.5</v>
      </c>
      <c r="D13" s="28" t="s">
        <v>3</v>
      </c>
    </row>
    <row r="14" spans="1:4" x14ac:dyDescent="0.3">
      <c r="A14" s="17" t="s">
        <v>12</v>
      </c>
      <c r="B14" s="7"/>
      <c r="C14" s="8">
        <v>0.02</v>
      </c>
      <c r="D14" s="28" t="s">
        <v>3</v>
      </c>
    </row>
    <row r="15" spans="1:4" x14ac:dyDescent="0.3">
      <c r="A15" s="17"/>
      <c r="B15" s="7"/>
      <c r="C15" s="7"/>
      <c r="D15" s="28"/>
    </row>
    <row r="16" spans="1:4" x14ac:dyDescent="0.3">
      <c r="A16" s="18" t="s">
        <v>13</v>
      </c>
      <c r="B16" s="10"/>
      <c r="C16" s="10"/>
      <c r="D16" s="29"/>
    </row>
    <row r="17" spans="1:4" x14ac:dyDescent="0.3">
      <c r="A17" s="17" t="s">
        <v>14</v>
      </c>
      <c r="B17" s="7"/>
      <c r="C17" s="8">
        <v>0.12</v>
      </c>
      <c r="D17" s="28" t="s">
        <v>15</v>
      </c>
    </row>
    <row r="18" spans="1:4" x14ac:dyDescent="0.3">
      <c r="A18" s="17" t="s">
        <v>16</v>
      </c>
      <c r="B18" s="7"/>
      <c r="C18" s="8">
        <v>0.02</v>
      </c>
      <c r="D18" s="28" t="s">
        <v>3</v>
      </c>
    </row>
    <row r="19" spans="1:4" x14ac:dyDescent="0.3">
      <c r="A19" s="17" t="s">
        <v>17</v>
      </c>
      <c r="B19" s="7"/>
      <c r="C19" s="13">
        <f>C17+C18</f>
        <v>0.13999999999999999</v>
      </c>
      <c r="D19" s="28" t="s">
        <v>18</v>
      </c>
    </row>
    <row r="20" spans="1:4" x14ac:dyDescent="0.3">
      <c r="A20" s="17" t="s">
        <v>19</v>
      </c>
      <c r="B20" s="7"/>
      <c r="C20" s="8">
        <v>1</v>
      </c>
      <c r="D20" s="28" t="s">
        <v>3</v>
      </c>
    </row>
    <row r="21" spans="1:4" x14ac:dyDescent="0.3">
      <c r="A21" s="17"/>
      <c r="B21" s="7"/>
      <c r="C21" s="7"/>
      <c r="D21" s="28"/>
    </row>
    <row r="22" spans="1:4" x14ac:dyDescent="0.3">
      <c r="A22" s="18" t="s">
        <v>20</v>
      </c>
      <c r="B22" s="10"/>
      <c r="C22" s="10"/>
      <c r="D22" s="29"/>
    </row>
    <row r="23" spans="1:4" x14ac:dyDescent="0.3">
      <c r="A23" s="17" t="s">
        <v>21</v>
      </c>
      <c r="B23" s="7"/>
      <c r="C23" s="14">
        <v>5</v>
      </c>
      <c r="D23" s="28" t="s">
        <v>3</v>
      </c>
    </row>
    <row r="24" spans="1:4" x14ac:dyDescent="0.3">
      <c r="A24" s="17" t="s">
        <v>22</v>
      </c>
      <c r="B24" s="7"/>
      <c r="C24" s="8">
        <v>0.08</v>
      </c>
      <c r="D24" s="28" t="s">
        <v>23</v>
      </c>
    </row>
    <row r="25" spans="1:4" x14ac:dyDescent="0.3">
      <c r="A25" s="17" t="s">
        <v>24</v>
      </c>
      <c r="B25" s="7"/>
      <c r="C25" s="8">
        <v>0.27500000000000002</v>
      </c>
      <c r="D25" s="28" t="s">
        <v>25</v>
      </c>
    </row>
    <row r="26" spans="1:4" x14ac:dyDescent="0.3">
      <c r="A26" s="17" t="s">
        <v>26</v>
      </c>
      <c r="B26" s="7"/>
      <c r="C26" s="8">
        <v>7.0000000000000007E-2</v>
      </c>
      <c r="D26" s="28" t="s">
        <v>27</v>
      </c>
    </row>
    <row r="27" spans="1:4" x14ac:dyDescent="0.3">
      <c r="A27" s="17" t="s">
        <v>28</v>
      </c>
      <c r="B27" s="7"/>
      <c r="C27" s="8">
        <v>0.02</v>
      </c>
      <c r="D27" s="28" t="s">
        <v>3</v>
      </c>
    </row>
    <row r="28" spans="1:4" x14ac:dyDescent="0.3">
      <c r="A28" s="17" t="s">
        <v>29</v>
      </c>
      <c r="B28" s="7"/>
      <c r="C28" s="8">
        <v>0.04</v>
      </c>
      <c r="D28" s="28" t="s">
        <v>3</v>
      </c>
    </row>
    <row r="29" spans="1:4" x14ac:dyDescent="0.3">
      <c r="A29" s="17" t="s">
        <v>30</v>
      </c>
      <c r="B29" s="7"/>
      <c r="C29" s="8">
        <v>0.34</v>
      </c>
      <c r="D29" s="28" t="s">
        <v>3</v>
      </c>
    </row>
    <row r="30" spans="1:4" x14ac:dyDescent="0.3">
      <c r="A30" s="17"/>
      <c r="B30" s="7"/>
      <c r="C30" s="7"/>
      <c r="D30" s="28"/>
    </row>
    <row r="31" spans="1:4" x14ac:dyDescent="0.3">
      <c r="A31" s="18" t="s">
        <v>31</v>
      </c>
      <c r="B31" s="10"/>
      <c r="C31" s="10"/>
      <c r="D31" s="29"/>
    </row>
    <row r="32" spans="1:4" x14ac:dyDescent="0.3">
      <c r="A32" s="17" t="s">
        <v>32</v>
      </c>
      <c r="B32" s="7"/>
      <c r="C32" s="12">
        <v>1250000</v>
      </c>
      <c r="D32" s="28" t="s">
        <v>3</v>
      </c>
    </row>
    <row r="33" spans="1:4" x14ac:dyDescent="0.3">
      <c r="A33" s="23" t="s">
        <v>33</v>
      </c>
      <c r="B33" s="24"/>
      <c r="C33" s="25">
        <v>0.15</v>
      </c>
      <c r="D33" s="30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9D2C-15B4-46A2-AC37-54E45FD91E5A}">
  <dimension ref="A1:C25"/>
  <sheetViews>
    <sheetView workbookViewId="0"/>
  </sheetViews>
  <sheetFormatPr defaultRowHeight="14.4" x14ac:dyDescent="0.3"/>
  <cols>
    <col min="1" max="1" width="61.109375" customWidth="1"/>
    <col min="2" max="2" width="2.77734375" customWidth="1"/>
    <col min="3" max="3" width="22.21875" customWidth="1"/>
  </cols>
  <sheetData>
    <row r="1" spans="1:3" ht="18" x14ac:dyDescent="0.35">
      <c r="A1" s="1" t="s">
        <v>34</v>
      </c>
    </row>
    <row r="2" spans="1:3" x14ac:dyDescent="0.3">
      <c r="A2" s="2" t="s">
        <v>35</v>
      </c>
    </row>
    <row r="4" spans="1:3" x14ac:dyDescent="0.3">
      <c r="A4" s="15" t="s">
        <v>36</v>
      </c>
      <c r="B4" s="3"/>
      <c r="C4" s="19"/>
    </row>
    <row r="5" spans="1:3" x14ac:dyDescent="0.3">
      <c r="A5" s="16" t="s">
        <v>2</v>
      </c>
      <c r="B5" s="5"/>
      <c r="C5" s="34">
        <f>Premissas!C5</f>
        <v>2190000</v>
      </c>
    </row>
    <row r="6" spans="1:3" x14ac:dyDescent="0.3">
      <c r="A6" s="17" t="s">
        <v>8</v>
      </c>
      <c r="B6" s="7"/>
      <c r="C6" s="35">
        <f>Premissas!C10</f>
        <v>6.25</v>
      </c>
    </row>
    <row r="7" spans="1:3" x14ac:dyDescent="0.3">
      <c r="A7" s="17" t="s">
        <v>37</v>
      </c>
      <c r="B7" s="7"/>
      <c r="C7" s="36">
        <f>C5*C6</f>
        <v>13687500</v>
      </c>
    </row>
    <row r="8" spans="1:3" x14ac:dyDescent="0.3">
      <c r="A8" s="17" t="s">
        <v>38</v>
      </c>
      <c r="B8" s="7"/>
      <c r="C8" s="37">
        <f>Premissas!C12</f>
        <v>1630000</v>
      </c>
    </row>
    <row r="9" spans="1:3" x14ac:dyDescent="0.3">
      <c r="A9" s="17" t="s">
        <v>39</v>
      </c>
      <c r="B9" s="7"/>
      <c r="C9" s="36">
        <f>C7-C8</f>
        <v>12057500</v>
      </c>
    </row>
    <row r="10" spans="1:3" x14ac:dyDescent="0.3">
      <c r="A10" s="17"/>
      <c r="B10" s="7"/>
      <c r="C10" s="21"/>
    </row>
    <row r="11" spans="1:3" x14ac:dyDescent="0.3">
      <c r="A11" s="18" t="s">
        <v>40</v>
      </c>
      <c r="B11" s="10"/>
      <c r="C11" s="22"/>
    </row>
    <row r="12" spans="1:3" x14ac:dyDescent="0.3">
      <c r="A12" s="17" t="s">
        <v>41</v>
      </c>
      <c r="B12" s="7"/>
      <c r="C12" s="38">
        <f>C9</f>
        <v>12057500</v>
      </c>
    </row>
    <row r="13" spans="1:3" x14ac:dyDescent="0.3">
      <c r="A13" s="17" t="s">
        <v>42</v>
      </c>
      <c r="B13" s="7"/>
      <c r="C13" s="38">
        <f>C8</f>
        <v>1630000</v>
      </c>
    </row>
    <row r="14" spans="1:3" x14ac:dyDescent="0.3">
      <c r="A14" s="17" t="s">
        <v>43</v>
      </c>
      <c r="B14" s="7"/>
      <c r="C14" s="38">
        <f>C7*Premissas!C14</f>
        <v>273750</v>
      </c>
    </row>
    <row r="15" spans="1:3" x14ac:dyDescent="0.3">
      <c r="A15" s="17" t="s">
        <v>44</v>
      </c>
      <c r="B15" s="7"/>
      <c r="C15" s="41">
        <f>SUM(C12:C14)</f>
        <v>13961250</v>
      </c>
    </row>
    <row r="16" spans="1:3" x14ac:dyDescent="0.3">
      <c r="A16" s="17"/>
      <c r="B16" s="7"/>
      <c r="C16" s="21"/>
    </row>
    <row r="17" spans="1:3" x14ac:dyDescent="0.3">
      <c r="A17" s="18" t="s">
        <v>45</v>
      </c>
      <c r="B17" s="10"/>
      <c r="C17" s="22"/>
    </row>
    <row r="18" spans="1:3" x14ac:dyDescent="0.3">
      <c r="A18" s="17" t="s">
        <v>46</v>
      </c>
      <c r="B18" s="7"/>
      <c r="C18" s="38">
        <f>Premissas!C13*Premissas!C5</f>
        <v>9855000</v>
      </c>
    </row>
    <row r="19" spans="1:3" x14ac:dyDescent="0.3">
      <c r="A19" s="17" t="s">
        <v>47</v>
      </c>
      <c r="B19" s="7"/>
      <c r="C19" s="42">
        <f>C15-C18</f>
        <v>4106250</v>
      </c>
    </row>
    <row r="20" spans="1:3" x14ac:dyDescent="0.3">
      <c r="A20" s="17" t="s">
        <v>48</v>
      </c>
      <c r="B20" s="7"/>
      <c r="C20" s="41">
        <f>SUM(C18:C19)</f>
        <v>13961250</v>
      </c>
    </row>
    <row r="21" spans="1:3" x14ac:dyDescent="0.3">
      <c r="A21" s="17"/>
      <c r="B21" s="7"/>
      <c r="C21" s="21"/>
    </row>
    <row r="22" spans="1:3" x14ac:dyDescent="0.3">
      <c r="A22" s="18" t="s">
        <v>49</v>
      </c>
      <c r="B22" s="10"/>
      <c r="C22" s="22"/>
    </row>
    <row r="23" spans="1:3" x14ac:dyDescent="0.3">
      <c r="A23" s="17" t="s">
        <v>50</v>
      </c>
      <c r="B23" s="7"/>
      <c r="C23" s="36">
        <f>C20-C15</f>
        <v>0</v>
      </c>
    </row>
    <row r="24" spans="1:3" x14ac:dyDescent="0.3">
      <c r="A24" s="17" t="s">
        <v>51</v>
      </c>
      <c r="B24" s="7"/>
      <c r="C24" s="39">
        <f>C18/C5</f>
        <v>4.5</v>
      </c>
    </row>
    <row r="25" spans="1:3" x14ac:dyDescent="0.3">
      <c r="A25" s="23" t="s">
        <v>52</v>
      </c>
      <c r="B25" s="24"/>
      <c r="C25" s="40">
        <f>C19/C20</f>
        <v>0.29411764705882354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931-C4C3-4BCC-97B5-A0558A206C36}">
  <dimension ref="A1:H21"/>
  <sheetViews>
    <sheetView workbookViewId="0"/>
  </sheetViews>
  <sheetFormatPr defaultRowHeight="14.4" x14ac:dyDescent="0.3"/>
  <cols>
    <col min="1" max="1" width="53.6640625" customWidth="1"/>
    <col min="2" max="2" width="2.21875" customWidth="1"/>
    <col min="3" max="8" width="19.44140625" customWidth="1"/>
  </cols>
  <sheetData>
    <row r="1" spans="1:8" ht="18" x14ac:dyDescent="0.35">
      <c r="A1" s="1" t="s">
        <v>53</v>
      </c>
    </row>
    <row r="2" spans="1:8" x14ac:dyDescent="0.3">
      <c r="A2" s="2" t="s">
        <v>54</v>
      </c>
    </row>
    <row r="4" spans="1:8" x14ac:dyDescent="0.3">
      <c r="A4" s="46" t="s">
        <v>61</v>
      </c>
      <c r="B4" s="47"/>
      <c r="C4" s="47" t="s">
        <v>55</v>
      </c>
      <c r="D4" s="47" t="s">
        <v>56</v>
      </c>
      <c r="E4" s="47" t="s">
        <v>57</v>
      </c>
      <c r="F4" s="47" t="s">
        <v>58</v>
      </c>
      <c r="G4" s="47" t="s">
        <v>59</v>
      </c>
      <c r="H4" s="48" t="s">
        <v>60</v>
      </c>
    </row>
    <row r="5" spans="1:8" x14ac:dyDescent="0.3">
      <c r="A5" s="15" t="s">
        <v>62</v>
      </c>
      <c r="B5" s="3"/>
      <c r="C5" s="3"/>
      <c r="D5" s="3"/>
      <c r="E5" s="3"/>
      <c r="F5" s="3"/>
      <c r="G5" s="3"/>
      <c r="H5" s="19"/>
    </row>
    <row r="6" spans="1:8" x14ac:dyDescent="0.3">
      <c r="A6" s="16" t="s">
        <v>63</v>
      </c>
      <c r="B6" s="5"/>
      <c r="C6" s="44">
        <f>Premissas!C7</f>
        <v>7906137.1841155225</v>
      </c>
      <c r="D6" s="44">
        <f>C6*(1+Premissas!$C$24)</f>
        <v>8538628.1588447653</v>
      </c>
      <c r="E6" s="44">
        <f>D6*(1+Premissas!$C$24)</f>
        <v>9221718.4115523472</v>
      </c>
      <c r="F6" s="44">
        <f>E6*(1+Premissas!$C$24)</f>
        <v>9959455.884476535</v>
      </c>
      <c r="G6" s="44">
        <f>F6*(1+Premissas!$C$24)</f>
        <v>10756212.355234658</v>
      </c>
      <c r="H6" s="49">
        <f>G6*(1+Premissas!$C$24)</f>
        <v>11616709.343653431</v>
      </c>
    </row>
    <row r="7" spans="1:8" x14ac:dyDescent="0.3">
      <c r="A7" s="17" t="s">
        <v>64</v>
      </c>
      <c r="B7" s="7"/>
      <c r="C7" s="7"/>
      <c r="D7" s="45">
        <f>D6/C6-1</f>
        <v>8.0000000000000071E-2</v>
      </c>
      <c r="E7" s="45">
        <f>E6/D6-1</f>
        <v>8.0000000000000071E-2</v>
      </c>
      <c r="F7" s="45">
        <f>F6/E6-1</f>
        <v>8.0000000000000071E-2</v>
      </c>
      <c r="G7" s="45">
        <f>G6/F6-1</f>
        <v>8.0000000000000071E-2</v>
      </c>
      <c r="H7" s="50">
        <f>H6/G6-1</f>
        <v>8.0000000000000071E-2</v>
      </c>
    </row>
    <row r="8" spans="1:8" x14ac:dyDescent="0.3">
      <c r="A8" s="17" t="s">
        <v>65</v>
      </c>
      <c r="B8" s="7"/>
      <c r="C8" s="9">
        <f>Premissas!C5</f>
        <v>2190000</v>
      </c>
      <c r="D8" s="9">
        <f>D6*Premissas!$C$25</f>
        <v>2348122.7436823105</v>
      </c>
      <c r="E8" s="9">
        <f>E6*Premissas!$C$25</f>
        <v>2535972.5631768955</v>
      </c>
      <c r="F8" s="9">
        <f>F6*Premissas!$C$25</f>
        <v>2738850.3682310474</v>
      </c>
      <c r="G8" s="9">
        <f>G6*Premissas!$C$25</f>
        <v>2957958.3976895311</v>
      </c>
      <c r="H8" s="36">
        <f>H6*Premissas!$C$25</f>
        <v>3194595.0695046936</v>
      </c>
    </row>
    <row r="9" spans="1:8" x14ac:dyDescent="0.3">
      <c r="A9" s="17" t="s">
        <v>66</v>
      </c>
      <c r="B9" s="7"/>
      <c r="C9" s="45">
        <f t="shared" ref="C9:H9" si="0">C8/C6</f>
        <v>0.27700000000000002</v>
      </c>
      <c r="D9" s="45">
        <f t="shared" si="0"/>
        <v>0.27500000000000002</v>
      </c>
      <c r="E9" s="45">
        <f t="shared" si="0"/>
        <v>0.27500000000000002</v>
      </c>
      <c r="F9" s="45">
        <f t="shared" si="0"/>
        <v>0.27500000000000002</v>
      </c>
      <c r="G9" s="45">
        <f t="shared" si="0"/>
        <v>0.27500000000000002</v>
      </c>
      <c r="H9" s="50">
        <f t="shared" si="0"/>
        <v>0.27500000000000002</v>
      </c>
    </row>
    <row r="10" spans="1:8" x14ac:dyDescent="0.3">
      <c r="A10" s="17" t="s">
        <v>67</v>
      </c>
      <c r="B10" s="7"/>
      <c r="C10" s="7"/>
      <c r="D10" s="33">
        <f>-D6*Premissas!$C$28</f>
        <v>-341545.12635379063</v>
      </c>
      <c r="E10" s="33">
        <f>-E6*Premissas!$C$28</f>
        <v>-368868.73646209389</v>
      </c>
      <c r="F10" s="33">
        <f>-F6*Premissas!$C$28</f>
        <v>-398378.23537906143</v>
      </c>
      <c r="G10" s="33">
        <f>-G6*Premissas!$C$28</f>
        <v>-430248.49420938635</v>
      </c>
      <c r="H10" s="38">
        <f>-H6*Premissas!$C$28</f>
        <v>-464668.37374613725</v>
      </c>
    </row>
    <row r="11" spans="1:8" x14ac:dyDescent="0.3">
      <c r="A11" s="17" t="s">
        <v>68</v>
      </c>
      <c r="B11" s="7"/>
      <c r="C11" s="7"/>
      <c r="D11" s="9">
        <f>D8+D10</f>
        <v>2006577.6173285199</v>
      </c>
      <c r="E11" s="9">
        <f>E8+E10</f>
        <v>2167103.8267148016</v>
      </c>
      <c r="F11" s="9">
        <f>F8+F10</f>
        <v>2340472.1328519862</v>
      </c>
      <c r="G11" s="9">
        <f>G8+G10</f>
        <v>2527709.9034801447</v>
      </c>
      <c r="H11" s="36">
        <f>H8+H10</f>
        <v>2729926.6957585565</v>
      </c>
    </row>
    <row r="12" spans="1:8" x14ac:dyDescent="0.3">
      <c r="A12" s="17"/>
      <c r="B12" s="7"/>
      <c r="C12" s="7"/>
      <c r="D12" s="7"/>
      <c r="E12" s="7"/>
      <c r="F12" s="7"/>
      <c r="G12" s="7"/>
      <c r="H12" s="21"/>
    </row>
    <row r="13" spans="1:8" x14ac:dyDescent="0.3">
      <c r="A13" s="18" t="s">
        <v>69</v>
      </c>
      <c r="B13" s="10"/>
      <c r="C13" s="10"/>
      <c r="D13" s="10"/>
      <c r="E13" s="10"/>
      <c r="F13" s="10"/>
      <c r="G13" s="10"/>
      <c r="H13" s="22"/>
    </row>
    <row r="14" spans="1:8" x14ac:dyDescent="0.3">
      <c r="A14" s="17" t="s">
        <v>70</v>
      </c>
      <c r="B14" s="7"/>
      <c r="C14" s="7"/>
      <c r="D14" s="33">
        <f>-D6*Premissas!$C$26</f>
        <v>-597703.97111913364</v>
      </c>
      <c r="E14" s="33">
        <f>-E6*Premissas!$C$26</f>
        <v>-645520.28880866442</v>
      </c>
      <c r="F14" s="33">
        <f>-F6*Premissas!$C$26</f>
        <v>-697161.91191335756</v>
      </c>
      <c r="G14" s="33">
        <f>-G6*Premissas!$C$26</f>
        <v>-752934.8648664261</v>
      </c>
      <c r="H14" s="38">
        <f>-H6*Premissas!$C$26</f>
        <v>-813169.65405574022</v>
      </c>
    </row>
    <row r="15" spans="1:8" x14ac:dyDescent="0.3">
      <c r="A15" s="17" t="s">
        <v>71</v>
      </c>
      <c r="B15" s="7"/>
      <c r="C15" s="7"/>
      <c r="D15" s="33">
        <f>D6-C6</f>
        <v>632490.97472924273</v>
      </c>
      <c r="E15" s="33">
        <f>E6-D6</f>
        <v>683090.25270758197</v>
      </c>
      <c r="F15" s="33">
        <f>F6-E6</f>
        <v>737737.47292418778</v>
      </c>
      <c r="G15" s="33">
        <f>G6-F6</f>
        <v>796756.47075812332</v>
      </c>
      <c r="H15" s="38">
        <f>H6-G6</f>
        <v>860496.98841877282</v>
      </c>
    </row>
    <row r="16" spans="1:8" x14ac:dyDescent="0.3">
      <c r="A16" s="17" t="s">
        <v>72</v>
      </c>
      <c r="B16" s="7"/>
      <c r="C16" s="7"/>
      <c r="D16" s="33">
        <f>-D15*Premissas!$C$27</f>
        <v>-12649.819494584855</v>
      </c>
      <c r="E16" s="33">
        <f>-E15*Premissas!$C$27</f>
        <v>-13661.80505415164</v>
      </c>
      <c r="F16" s="33">
        <f>-F15*Premissas!$C$27</f>
        <v>-14754.749458483755</v>
      </c>
      <c r="G16" s="33">
        <f>-G15*Premissas!$C$27</f>
        <v>-15935.129415162466</v>
      </c>
      <c r="H16" s="38">
        <f>-H15*Premissas!$C$27</f>
        <v>-17209.939768375458</v>
      </c>
    </row>
    <row r="17" spans="1:8" x14ac:dyDescent="0.3">
      <c r="A17" s="17"/>
      <c r="B17" s="7"/>
      <c r="C17" s="7"/>
      <c r="D17" s="7"/>
      <c r="E17" s="7"/>
      <c r="F17" s="7"/>
      <c r="G17" s="7"/>
      <c r="H17" s="21"/>
    </row>
    <row r="18" spans="1:8" x14ac:dyDescent="0.3">
      <c r="A18" s="18" t="s">
        <v>73</v>
      </c>
      <c r="B18" s="10"/>
      <c r="C18" s="10"/>
      <c r="D18" s="10"/>
      <c r="E18" s="10"/>
      <c r="F18" s="10"/>
      <c r="G18" s="10"/>
      <c r="H18" s="22"/>
    </row>
    <row r="19" spans="1:8" x14ac:dyDescent="0.3">
      <c r="A19" s="17" t="s">
        <v>74</v>
      </c>
      <c r="B19" s="7"/>
      <c r="C19" s="7"/>
      <c r="D19" s="33">
        <f>Premissas!C32</f>
        <v>1250000</v>
      </c>
      <c r="E19" s="33">
        <f>D21</f>
        <v>1062500</v>
      </c>
      <c r="F19" s="33">
        <f>E21</f>
        <v>903125</v>
      </c>
      <c r="G19" s="33">
        <f>F21</f>
        <v>767656.25</v>
      </c>
      <c r="H19" s="38">
        <f>G21</f>
        <v>652507.8125</v>
      </c>
    </row>
    <row r="20" spans="1:8" x14ac:dyDescent="0.3">
      <c r="A20" s="17" t="s">
        <v>75</v>
      </c>
      <c r="B20" s="7"/>
      <c r="C20" s="7"/>
      <c r="D20" s="33">
        <f>-D19*Premissas!$C$33</f>
        <v>-187500</v>
      </c>
      <c r="E20" s="33">
        <f>-E19*Premissas!$C$33</f>
        <v>-159375</v>
      </c>
      <c r="F20" s="33">
        <f>-F19*Premissas!$C$33</f>
        <v>-135468.75</v>
      </c>
      <c r="G20" s="33">
        <f>-G19*Premissas!$C$33</f>
        <v>-115148.4375</v>
      </c>
      <c r="H20" s="38">
        <f>-H19*Premissas!$C$33</f>
        <v>-97876.171875</v>
      </c>
    </row>
    <row r="21" spans="1:8" x14ac:dyDescent="0.3">
      <c r="A21" s="23" t="s">
        <v>76</v>
      </c>
      <c r="B21" s="24"/>
      <c r="C21" s="24"/>
      <c r="D21" s="51">
        <f>D19+D20</f>
        <v>1062500</v>
      </c>
      <c r="E21" s="51">
        <f>E19+E20</f>
        <v>903125</v>
      </c>
      <c r="F21" s="51">
        <f>F19+F20</f>
        <v>767656.25</v>
      </c>
      <c r="G21" s="51">
        <f>G19+G20</f>
        <v>652507.8125</v>
      </c>
      <c r="H21" s="52">
        <f>H19+H20</f>
        <v>554631.640625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C8A6-24A4-4F63-9690-59B3BFA1BE4A}">
  <dimension ref="A1:H26"/>
  <sheetViews>
    <sheetView workbookViewId="0"/>
  </sheetViews>
  <sheetFormatPr defaultRowHeight="14.4" x14ac:dyDescent="0.3"/>
  <cols>
    <col min="1" max="1" width="53.6640625" customWidth="1"/>
    <col min="2" max="3" width="2.21875" customWidth="1"/>
    <col min="4" max="8" width="19.44140625" customWidth="1"/>
  </cols>
  <sheetData>
    <row r="1" spans="1:8" ht="18" x14ac:dyDescent="0.35">
      <c r="A1" s="1" t="s">
        <v>77</v>
      </c>
    </row>
    <row r="2" spans="1:8" x14ac:dyDescent="0.3">
      <c r="A2" s="53" t="s">
        <v>78</v>
      </c>
    </row>
    <row r="4" spans="1:8" x14ac:dyDescent="0.3">
      <c r="A4" s="46" t="s">
        <v>79</v>
      </c>
      <c r="B4" s="47"/>
      <c r="C4" s="47"/>
      <c r="D4" s="47" t="s">
        <v>56</v>
      </c>
      <c r="E4" s="47" t="s">
        <v>57</v>
      </c>
      <c r="F4" s="47" t="s">
        <v>58</v>
      </c>
      <c r="G4" s="47" t="s">
        <v>59</v>
      </c>
      <c r="H4" s="48" t="s">
        <v>60</v>
      </c>
    </row>
    <row r="5" spans="1:8" x14ac:dyDescent="0.3">
      <c r="A5" s="15" t="s">
        <v>80</v>
      </c>
      <c r="B5" s="3"/>
      <c r="C5" s="3"/>
      <c r="D5" s="3"/>
      <c r="E5" s="3"/>
      <c r="F5" s="3"/>
      <c r="G5" s="3"/>
      <c r="H5" s="19"/>
    </row>
    <row r="6" spans="1:8" x14ac:dyDescent="0.3">
      <c r="A6" s="16" t="s">
        <v>81</v>
      </c>
      <c r="B6" s="5"/>
      <c r="C6" s="5"/>
      <c r="D6" s="31">
        <f>Projeções!D11</f>
        <v>2006577.6173285199</v>
      </c>
      <c r="E6" s="31">
        <f>Projeções!E11</f>
        <v>2167103.8267148016</v>
      </c>
      <c r="F6" s="31">
        <f>Projeções!F11</f>
        <v>2340472.1328519862</v>
      </c>
      <c r="G6" s="31">
        <f>Projeções!G11</f>
        <v>2527709.9034801447</v>
      </c>
      <c r="H6" s="34">
        <f>Projeções!H11</f>
        <v>2729926.6957585565</v>
      </c>
    </row>
    <row r="7" spans="1:8" x14ac:dyDescent="0.3">
      <c r="A7" s="17" t="s">
        <v>82</v>
      </c>
      <c r="B7" s="7"/>
      <c r="C7" s="7"/>
      <c r="D7" s="33">
        <f ca="1">-D13</f>
        <v>-1379699.9999999998</v>
      </c>
      <c r="E7" s="33">
        <f ca="1">-E13</f>
        <v>-1374562.7890792897</v>
      </c>
      <c r="F7" s="33">
        <f ca="1">-F13</f>
        <v>-1355343.1200883966</v>
      </c>
      <c r="G7" s="33">
        <f ca="1">-G13</f>
        <v>-1317094.1078920998</v>
      </c>
      <c r="H7" s="38">
        <f ca="1">-H13</f>
        <v>-1257345.4160816201</v>
      </c>
    </row>
    <row r="8" spans="1:8" x14ac:dyDescent="0.3">
      <c r="A8" s="17" t="s">
        <v>83</v>
      </c>
      <c r="B8" s="7"/>
      <c r="C8" s="7"/>
      <c r="D8" s="9">
        <f ca="1">D6+D7</f>
        <v>626877.61732852017</v>
      </c>
      <c r="E8" s="9">
        <f ca="1">E6+E7</f>
        <v>792541.03763551195</v>
      </c>
      <c r="F8" s="9">
        <f ca="1">F6+F7</f>
        <v>985129.01276358962</v>
      </c>
      <c r="G8" s="9">
        <f ca="1">G6+G7</f>
        <v>1210615.7955880449</v>
      </c>
      <c r="H8" s="36">
        <f ca="1">H6+H7</f>
        <v>1472581.2796769363</v>
      </c>
    </row>
    <row r="9" spans="1:8" x14ac:dyDescent="0.3">
      <c r="A9" s="17" t="s">
        <v>84</v>
      </c>
      <c r="B9" s="7"/>
      <c r="C9" s="7"/>
      <c r="D9" s="33">
        <f ca="1">-MAX(0,D8)*Premissas!$C$29</f>
        <v>-213138.38989169686</v>
      </c>
      <c r="E9" s="33">
        <f ca="1">-MAX(0,E8)*Premissas!$C$29</f>
        <v>-269463.9527960741</v>
      </c>
      <c r="F9" s="33">
        <f ca="1">-MAX(0,F8)*Premissas!$C$29</f>
        <v>-334943.86433962052</v>
      </c>
      <c r="G9" s="33">
        <f ca="1">-MAX(0,G8)*Premissas!$C$29</f>
        <v>-411609.37049993529</v>
      </c>
      <c r="H9" s="38">
        <f ca="1">-MAX(0,H8)*Premissas!$C$29</f>
        <v>-500677.63509015838</v>
      </c>
    </row>
    <row r="10" spans="1:8" x14ac:dyDescent="0.3">
      <c r="A10" s="17"/>
      <c r="B10" s="7"/>
      <c r="C10" s="7"/>
      <c r="D10" s="7"/>
      <c r="E10" s="7"/>
      <c r="F10" s="7"/>
      <c r="G10" s="7"/>
      <c r="H10" s="21"/>
    </row>
    <row r="11" spans="1:8" x14ac:dyDescent="0.3">
      <c r="A11" s="18" t="s">
        <v>85</v>
      </c>
      <c r="B11" s="10"/>
      <c r="C11" s="10"/>
      <c r="D11" s="10"/>
      <c r="E11" s="10"/>
      <c r="F11" s="10"/>
      <c r="G11" s="10"/>
      <c r="H11" s="22"/>
    </row>
    <row r="12" spans="1:8" x14ac:dyDescent="0.3">
      <c r="A12" s="17" t="s">
        <v>86</v>
      </c>
      <c r="B12" s="7"/>
      <c r="C12" s="7"/>
      <c r="D12" s="32">
        <f>'Sources &amp; Uses'!C18</f>
        <v>9855000</v>
      </c>
      <c r="E12" s="32">
        <f ca="1">D19</f>
        <v>9855000</v>
      </c>
      <c r="F12" s="32">
        <f ca="1">E19</f>
        <v>9781611.2725612838</v>
      </c>
      <c r="G12" s="32">
        <f ca="1">F19</f>
        <v>9580433.3001300953</v>
      </c>
      <c r="H12" s="37">
        <f ca="1">G19</f>
        <v>9235196.8126141876</v>
      </c>
    </row>
    <row r="13" spans="1:8" x14ac:dyDescent="0.3">
      <c r="A13" s="17" t="s">
        <v>87</v>
      </c>
      <c r="B13" s="7"/>
      <c r="C13" s="7"/>
      <c r="D13" s="33">
        <f ca="1">AVERAGE(D12,D19)*Premissas!$C$19</f>
        <v>1379699.9999999998</v>
      </c>
      <c r="E13" s="33">
        <f ca="1">AVERAGE(E12,E19)*Premissas!$C$19</f>
        <v>1374562.7890792897</v>
      </c>
      <c r="F13" s="33">
        <f ca="1">AVERAGE(F12,F19)*Premissas!$C$19</f>
        <v>1355343.1200883966</v>
      </c>
      <c r="G13" s="33">
        <f ca="1">AVERAGE(G12,G19)*Premissas!$C$19</f>
        <v>1317094.1078920998</v>
      </c>
      <c r="H13" s="38">
        <f ca="1">AVERAGE(H12,H19)*Premissas!$C$19</f>
        <v>1257345.4160816201</v>
      </c>
    </row>
    <row r="14" spans="1:8" x14ac:dyDescent="0.3">
      <c r="A14" s="17"/>
      <c r="B14" s="7"/>
      <c r="C14" s="7"/>
      <c r="D14" s="7"/>
      <c r="E14" s="7"/>
      <c r="F14" s="7"/>
      <c r="G14" s="7"/>
      <c r="H14" s="21"/>
    </row>
    <row r="15" spans="1:8" x14ac:dyDescent="0.3">
      <c r="A15" s="18" t="s">
        <v>88</v>
      </c>
      <c r="B15" s="10"/>
      <c r="C15" s="10"/>
      <c r="D15" s="10"/>
      <c r="E15" s="10"/>
      <c r="F15" s="10"/>
      <c r="G15" s="10"/>
      <c r="H15" s="22"/>
    </row>
    <row r="16" spans="1:8" x14ac:dyDescent="0.3">
      <c r="A16" s="17" t="s">
        <v>89</v>
      </c>
      <c r="B16" s="7"/>
      <c r="C16" s="7"/>
      <c r="D16" s="32">
        <f>Projeções!D8</f>
        <v>2348122.7436823105</v>
      </c>
      <c r="E16" s="32">
        <f>Projeções!E8</f>
        <v>2535972.5631768955</v>
      </c>
      <c r="F16" s="32">
        <f>Projeções!F8</f>
        <v>2738850.3682310474</v>
      </c>
      <c r="G16" s="32">
        <f>Projeções!G8</f>
        <v>2957958.3976895311</v>
      </c>
      <c r="H16" s="37">
        <f>Projeções!H8</f>
        <v>3194595.0695046936</v>
      </c>
    </row>
    <row r="17" spans="1:8" x14ac:dyDescent="0.3">
      <c r="A17" s="17" t="s">
        <v>90</v>
      </c>
      <c r="B17" s="7"/>
      <c r="C17" s="7"/>
      <c r="D17" s="32">
        <f>Projeções!D14</f>
        <v>-597703.97111913364</v>
      </c>
      <c r="E17" s="32">
        <f>Projeções!E14</f>
        <v>-645520.28880866442</v>
      </c>
      <c r="F17" s="32">
        <f>Projeções!F14</f>
        <v>-697161.91191335756</v>
      </c>
      <c r="G17" s="32">
        <f>Projeções!G14</f>
        <v>-752934.8648664261</v>
      </c>
      <c r="H17" s="37">
        <f>Projeções!H14</f>
        <v>-813169.65405574022</v>
      </c>
    </row>
    <row r="18" spans="1:8" x14ac:dyDescent="0.3">
      <c r="A18" s="17" t="s">
        <v>91</v>
      </c>
      <c r="B18" s="7"/>
      <c r="C18" s="7"/>
      <c r="D18" s="32">
        <f>Projeções!D16</f>
        <v>-12649.819494584855</v>
      </c>
      <c r="E18" s="32">
        <f>Projeções!E16</f>
        <v>-13661.80505415164</v>
      </c>
      <c r="F18" s="32">
        <f>Projeções!F16</f>
        <v>-14754.749458483755</v>
      </c>
      <c r="G18" s="32">
        <f>Projeções!G16</f>
        <v>-15935.129415162466</v>
      </c>
      <c r="H18" s="37">
        <f>Projeções!H16</f>
        <v>-17209.939768375458</v>
      </c>
    </row>
    <row r="19" spans="1:8" x14ac:dyDescent="0.3">
      <c r="A19" s="56" t="s">
        <v>92</v>
      </c>
      <c r="B19" s="7"/>
      <c r="C19" s="7"/>
      <c r="D19" s="54">
        <f ca="1">D12-D25</f>
        <v>9855000</v>
      </c>
      <c r="E19" s="54">
        <f ca="1">E12-E25</f>
        <v>9781611.2725612838</v>
      </c>
      <c r="F19" s="54">
        <f ca="1">F12-F25</f>
        <v>9580433.3001300953</v>
      </c>
      <c r="G19" s="54">
        <f ca="1">G12-G25</f>
        <v>9235196.8126141876</v>
      </c>
      <c r="H19" s="57">
        <f ca="1">H12-H25</f>
        <v>8726880.5599803887</v>
      </c>
    </row>
    <row r="20" spans="1:8" x14ac:dyDescent="0.3">
      <c r="A20" s="17" t="s">
        <v>93</v>
      </c>
      <c r="B20" s="7"/>
      <c r="C20" s="7"/>
      <c r="D20" s="33">
        <f ca="1">-D13</f>
        <v>-1379699.9999999998</v>
      </c>
      <c r="E20" s="33">
        <f ca="1">-E13</f>
        <v>-1374562.7890792897</v>
      </c>
      <c r="F20" s="33">
        <f ca="1">-F13</f>
        <v>-1355343.1200883966</v>
      </c>
      <c r="G20" s="33">
        <f ca="1">-G13</f>
        <v>-1317094.1078920998</v>
      </c>
      <c r="H20" s="38">
        <f ca="1">-H13</f>
        <v>-1257345.4160816201</v>
      </c>
    </row>
    <row r="21" spans="1:8" x14ac:dyDescent="0.3">
      <c r="A21" s="17" t="s">
        <v>94</v>
      </c>
      <c r="B21" s="7"/>
      <c r="C21" s="7"/>
      <c r="D21" s="33">
        <f ca="1">D9</f>
        <v>-213138.38989169686</v>
      </c>
      <c r="E21" s="33">
        <f ca="1">E9</f>
        <v>-269463.9527960741</v>
      </c>
      <c r="F21" s="33">
        <f ca="1">F9</f>
        <v>-334943.86433962052</v>
      </c>
      <c r="G21" s="33">
        <f ca="1">G9</f>
        <v>-411609.37049993529</v>
      </c>
      <c r="H21" s="38">
        <f ca="1">H9</f>
        <v>-500677.63509015838</v>
      </c>
    </row>
    <row r="22" spans="1:8" x14ac:dyDescent="0.3">
      <c r="A22" s="17" t="s">
        <v>95</v>
      </c>
      <c r="B22" s="7"/>
      <c r="C22" s="7"/>
      <c r="D22" s="32">
        <f>Projeções!D20</f>
        <v>-187500</v>
      </c>
      <c r="E22" s="32">
        <f>Projeções!E20</f>
        <v>-159375</v>
      </c>
      <c r="F22" s="32">
        <f>Projeções!F20</f>
        <v>-135468.75</v>
      </c>
      <c r="G22" s="32">
        <f>Projeções!G20</f>
        <v>-115148.4375</v>
      </c>
      <c r="H22" s="37">
        <f>Projeções!H20</f>
        <v>-97876.171875</v>
      </c>
    </row>
    <row r="23" spans="1:8" x14ac:dyDescent="0.3">
      <c r="A23" s="17" t="s">
        <v>96</v>
      </c>
      <c r="B23" s="7"/>
      <c r="C23" s="7"/>
      <c r="D23" s="9">
        <f ca="1">D16+D17+D18+D20+D21+D22</f>
        <v>-42569.436823104741</v>
      </c>
      <c r="E23" s="9">
        <f ca="1">E16+E17+E18+E20+E21+E22</f>
        <v>73388.727438715752</v>
      </c>
      <c r="F23" s="9">
        <f ca="1">F16+F17+F18+F20+F21+F22</f>
        <v>201177.97243118897</v>
      </c>
      <c r="G23" s="9">
        <f ca="1">G16+G17+G18+G20+G21+G22</f>
        <v>345236.48751590744</v>
      </c>
      <c r="H23" s="36">
        <f ca="1">H16+H17+H18+H20+H21+H22</f>
        <v>508316.25263379957</v>
      </c>
    </row>
    <row r="24" spans="1:8" x14ac:dyDescent="0.3">
      <c r="A24" s="17" t="s">
        <v>97</v>
      </c>
      <c r="B24" s="7"/>
      <c r="C24" s="7"/>
      <c r="D24" s="55">
        <f>Premissas!$C$20</f>
        <v>1</v>
      </c>
      <c r="E24" s="55">
        <f>Premissas!$C$20</f>
        <v>1</v>
      </c>
      <c r="F24" s="55">
        <f>Premissas!$C$20</f>
        <v>1</v>
      </c>
      <c r="G24" s="55">
        <f>Premissas!$C$20</f>
        <v>1</v>
      </c>
      <c r="H24" s="58">
        <f>Premissas!$C$20</f>
        <v>1</v>
      </c>
    </row>
    <row r="25" spans="1:8" x14ac:dyDescent="0.3">
      <c r="A25" s="17" t="s">
        <v>98</v>
      </c>
      <c r="B25" s="7"/>
      <c r="C25" s="7"/>
      <c r="D25" s="9">
        <f ca="1">MIN(MAX(D23,0)*D24,D12)</f>
        <v>0</v>
      </c>
      <c r="E25" s="9">
        <f ca="1">MIN(MAX(E23,0)*E24,E12)</f>
        <v>73388.727438715752</v>
      </c>
      <c r="F25" s="9">
        <f ca="1">MIN(MAX(F23,0)*F24,F12)</f>
        <v>201177.97243118897</v>
      </c>
      <c r="G25" s="9">
        <f ca="1">MIN(MAX(G23,0)*G24,G12)</f>
        <v>345236.48751590744</v>
      </c>
      <c r="H25" s="36">
        <f ca="1">MIN(MAX(H23,0)*H24,H12)</f>
        <v>508316.25263379957</v>
      </c>
    </row>
    <row r="26" spans="1:8" x14ac:dyDescent="0.3">
      <c r="A26" s="23" t="s">
        <v>99</v>
      </c>
      <c r="B26" s="24"/>
      <c r="C26" s="24"/>
      <c r="D26" s="59">
        <f ca="1">D19/D16</f>
        <v>4.1969696969696972</v>
      </c>
      <c r="E26" s="59">
        <f ca="1">E19/E16</f>
        <v>3.8571439670102503</v>
      </c>
      <c r="F26" s="59">
        <f ca="1">F19/F16</f>
        <v>3.4979761622822241</v>
      </c>
      <c r="G26" s="59">
        <f ca="1">G19/G16</f>
        <v>3.1221523669257225</v>
      </c>
      <c r="H26" s="60">
        <f ca="1">H19/H16</f>
        <v>2.7317642361895489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0CCD-735D-41CC-A611-F43C684AD0AE}">
  <dimension ref="A1:C14"/>
  <sheetViews>
    <sheetView workbookViewId="0"/>
  </sheetViews>
  <sheetFormatPr defaultRowHeight="14.4" x14ac:dyDescent="0.3"/>
  <cols>
    <col min="1" max="1" width="61.109375" customWidth="1"/>
    <col min="2" max="2" width="2.21875" customWidth="1"/>
    <col min="3" max="3" width="22.21875" customWidth="1"/>
  </cols>
  <sheetData>
    <row r="1" spans="1:3" ht="18" x14ac:dyDescent="0.35">
      <c r="A1" s="1" t="s">
        <v>100</v>
      </c>
    </row>
    <row r="2" spans="1:3" x14ac:dyDescent="0.3">
      <c r="A2" s="2" t="s">
        <v>101</v>
      </c>
    </row>
    <row r="4" spans="1:3" x14ac:dyDescent="0.3">
      <c r="A4" s="15" t="s">
        <v>102</v>
      </c>
      <c r="B4" s="3"/>
      <c r="C4" s="19"/>
    </row>
    <row r="5" spans="1:3" x14ac:dyDescent="0.3">
      <c r="A5" s="16" t="s">
        <v>103</v>
      </c>
      <c r="B5" s="5"/>
      <c r="C5" s="34">
        <f>Projeções!H8</f>
        <v>3194595.0695046936</v>
      </c>
    </row>
    <row r="6" spans="1:3" x14ac:dyDescent="0.3">
      <c r="A6" s="17" t="s">
        <v>104</v>
      </c>
      <c r="B6" s="7"/>
      <c r="C6" s="35">
        <f>Premissas!C11</f>
        <v>6.25</v>
      </c>
    </row>
    <row r="7" spans="1:3" x14ac:dyDescent="0.3">
      <c r="A7" s="17" t="s">
        <v>105</v>
      </c>
      <c r="B7" s="7"/>
      <c r="C7" s="36">
        <f>C5*C6</f>
        <v>19966219.184404336</v>
      </c>
    </row>
    <row r="8" spans="1:3" x14ac:dyDescent="0.3">
      <c r="A8" s="17" t="s">
        <v>106</v>
      </c>
      <c r="B8" s="7"/>
      <c r="C8" s="37">
        <f ca="1">'Debt Schedule'!H19</f>
        <v>8726880.5599803887</v>
      </c>
    </row>
    <row r="9" spans="1:3" x14ac:dyDescent="0.3">
      <c r="A9" s="17" t="s">
        <v>107</v>
      </c>
      <c r="B9" s="7"/>
      <c r="C9" s="57">
        <f ca="1">C7-C8</f>
        <v>11239338.624423947</v>
      </c>
    </row>
    <row r="10" spans="1:3" x14ac:dyDescent="0.3">
      <c r="A10" s="17"/>
      <c r="B10" s="7"/>
      <c r="C10" s="21"/>
    </row>
    <row r="11" spans="1:3" x14ac:dyDescent="0.3">
      <c r="A11" s="18" t="s">
        <v>108</v>
      </c>
      <c r="B11" s="10"/>
      <c r="C11" s="22"/>
    </row>
    <row r="12" spans="1:3" x14ac:dyDescent="0.3">
      <c r="A12" s="17" t="s">
        <v>109</v>
      </c>
      <c r="B12" s="7"/>
      <c r="C12" s="35">
        <f>Premissas!C10</f>
        <v>6.25</v>
      </c>
    </row>
    <row r="13" spans="1:3" x14ac:dyDescent="0.3">
      <c r="A13" s="17" t="s">
        <v>110</v>
      </c>
      <c r="B13" s="7"/>
      <c r="C13" s="39">
        <f>C6-C12</f>
        <v>0</v>
      </c>
    </row>
    <row r="14" spans="1:3" x14ac:dyDescent="0.3">
      <c r="A14" s="23" t="s">
        <v>111</v>
      </c>
      <c r="B14" s="24"/>
      <c r="C14" s="40">
        <f>C5/Premissas!C5-1</f>
        <v>0.45871920981949477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510D-E47F-40BA-8898-CBF1A4A62B57}">
  <dimension ref="A1:H14"/>
  <sheetViews>
    <sheetView workbookViewId="0"/>
  </sheetViews>
  <sheetFormatPr defaultRowHeight="14.4" x14ac:dyDescent="0.3"/>
  <cols>
    <col min="1" max="1" width="61.109375" customWidth="1"/>
    <col min="2" max="2" width="2.21875" customWidth="1"/>
    <col min="3" max="8" width="19.44140625" customWidth="1"/>
  </cols>
  <sheetData>
    <row r="1" spans="1:8" ht="18" x14ac:dyDescent="0.35">
      <c r="A1" s="1" t="s">
        <v>112</v>
      </c>
    </row>
    <row r="2" spans="1:8" x14ac:dyDescent="0.3">
      <c r="A2" s="2" t="s">
        <v>101</v>
      </c>
    </row>
    <row r="4" spans="1:8" x14ac:dyDescent="0.3">
      <c r="A4" s="15" t="s">
        <v>113</v>
      </c>
      <c r="B4" s="3"/>
      <c r="C4" s="3"/>
      <c r="D4" s="3"/>
      <c r="E4" s="3"/>
      <c r="F4" s="3"/>
      <c r="G4" s="3"/>
      <c r="H4" s="19"/>
    </row>
    <row r="5" spans="1:8" x14ac:dyDescent="0.3">
      <c r="A5" s="46" t="s">
        <v>114</v>
      </c>
      <c r="B5" s="47"/>
      <c r="C5" s="47" t="s">
        <v>55</v>
      </c>
      <c r="D5" s="47" t="s">
        <v>56</v>
      </c>
      <c r="E5" s="47" t="s">
        <v>57</v>
      </c>
      <c r="F5" s="47" t="s">
        <v>58</v>
      </c>
      <c r="G5" s="47" t="s">
        <v>59</v>
      </c>
      <c r="H5" s="48" t="s">
        <v>60</v>
      </c>
    </row>
    <row r="6" spans="1:8" x14ac:dyDescent="0.3">
      <c r="A6" s="63" t="s">
        <v>115</v>
      </c>
      <c r="C6" s="64">
        <f>-'Sources &amp; Uses'!C19</f>
        <v>-4106250</v>
      </c>
      <c r="D6" s="65">
        <f>0</f>
        <v>0</v>
      </c>
      <c r="E6" s="65">
        <f>0</f>
        <v>0</v>
      </c>
      <c r="F6" s="65">
        <f>0</f>
        <v>0</v>
      </c>
      <c r="G6" s="65">
        <f>0</f>
        <v>0</v>
      </c>
      <c r="H6" s="66">
        <f ca="1">Saída!C9</f>
        <v>11239338.624423947</v>
      </c>
    </row>
    <row r="7" spans="1:8" x14ac:dyDescent="0.3">
      <c r="A7" s="63"/>
      <c r="H7" s="67"/>
    </row>
    <row r="8" spans="1:8" x14ac:dyDescent="0.3">
      <c r="A8" s="15" t="s">
        <v>116</v>
      </c>
      <c r="B8" s="3"/>
      <c r="C8" s="3"/>
      <c r="D8" s="3"/>
      <c r="E8" s="3"/>
      <c r="F8" s="3"/>
      <c r="G8" s="3"/>
      <c r="H8" s="19"/>
    </row>
    <row r="9" spans="1:8" x14ac:dyDescent="0.3">
      <c r="A9" s="16" t="s">
        <v>117</v>
      </c>
      <c r="B9" s="5"/>
      <c r="C9" s="31">
        <f>'Sources &amp; Uses'!C19</f>
        <v>4106250</v>
      </c>
      <c r="D9" s="5"/>
      <c r="E9" s="5"/>
      <c r="F9" s="5"/>
      <c r="G9" s="5"/>
      <c r="H9" s="20"/>
    </row>
    <row r="10" spans="1:8" x14ac:dyDescent="0.3">
      <c r="A10" s="17" t="s">
        <v>118</v>
      </c>
      <c r="B10" s="7"/>
      <c r="C10" s="32">
        <f ca="1">Saída!C9</f>
        <v>11239338.624423947</v>
      </c>
      <c r="D10" s="7"/>
      <c r="E10" s="7"/>
      <c r="F10" s="7"/>
      <c r="G10" s="7"/>
      <c r="H10" s="21"/>
    </row>
    <row r="11" spans="1:8" x14ac:dyDescent="0.3">
      <c r="A11" s="17" t="s">
        <v>119</v>
      </c>
      <c r="B11" s="7"/>
      <c r="C11" s="33">
        <f ca="1">C10-C9</f>
        <v>7133088.6244239472</v>
      </c>
      <c r="D11" s="7"/>
      <c r="E11" s="7"/>
      <c r="F11" s="7"/>
      <c r="G11" s="7"/>
      <c r="H11" s="21"/>
    </row>
    <row r="12" spans="1:8" x14ac:dyDescent="0.3">
      <c r="A12" s="17" t="s">
        <v>120</v>
      </c>
      <c r="B12" s="7"/>
      <c r="C12" s="61">
        <f ca="1">C10/C9</f>
        <v>2.7371296497836095</v>
      </c>
      <c r="D12" s="7"/>
      <c r="E12" s="7"/>
      <c r="F12" s="7"/>
      <c r="G12" s="7"/>
      <c r="H12" s="21"/>
    </row>
    <row r="13" spans="1:8" x14ac:dyDescent="0.3">
      <c r="A13" s="17" t="s">
        <v>121</v>
      </c>
      <c r="B13" s="7"/>
      <c r="C13" s="62">
        <f ca="1">IRR(C6:H6)</f>
        <v>0.2230918543484981</v>
      </c>
      <c r="D13" s="7"/>
      <c r="E13" s="7"/>
      <c r="F13" s="7"/>
      <c r="G13" s="7"/>
      <c r="H13" s="21"/>
    </row>
    <row r="14" spans="1:8" x14ac:dyDescent="0.3">
      <c r="A14" s="23" t="s">
        <v>122</v>
      </c>
      <c r="B14" s="24"/>
      <c r="C14" s="68">
        <f>Premissas!C23</f>
        <v>5</v>
      </c>
      <c r="D14" s="24"/>
      <c r="E14" s="24"/>
      <c r="F14" s="24"/>
      <c r="G14" s="24"/>
      <c r="H14" s="26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6713-9660-48A6-B952-CFCBAEAA92D1}">
  <dimension ref="A1:H65"/>
  <sheetViews>
    <sheetView tabSelected="1" workbookViewId="0"/>
  </sheetViews>
  <sheetFormatPr defaultRowHeight="14.4" x14ac:dyDescent="0.3"/>
  <cols>
    <col min="1" max="1" width="46.33203125" customWidth="1"/>
    <col min="2" max="2" width="33.33203125" customWidth="1"/>
    <col min="3" max="8" width="18.5546875" customWidth="1"/>
  </cols>
  <sheetData>
    <row r="1" spans="1:8" ht="18" x14ac:dyDescent="0.35">
      <c r="A1" s="87" t="s">
        <v>123</v>
      </c>
    </row>
    <row r="2" spans="1:8" x14ac:dyDescent="0.3">
      <c r="A2" s="2" t="s">
        <v>124</v>
      </c>
    </row>
    <row r="4" spans="1:8" x14ac:dyDescent="0.3">
      <c r="B4" s="79" t="s">
        <v>125</v>
      </c>
      <c r="C4" s="80">
        <v>3.5</v>
      </c>
      <c r="D4" s="80">
        <v>4</v>
      </c>
      <c r="E4" s="83">
        <v>4.5</v>
      </c>
      <c r="F4" s="80">
        <v>5</v>
      </c>
      <c r="G4" s="80">
        <v>5.5</v>
      </c>
    </row>
    <row r="5" spans="1:8" x14ac:dyDescent="0.3">
      <c r="B5" s="81">
        <v>5.25</v>
      </c>
      <c r="C5" s="82">
        <f ca="1">IFERROR(RATE(Premissas!$C$23,0,-$C$19,Projeções!$H$8*$B5-$H$25),"n/d")</f>
        <v>0.12719859517212706</v>
      </c>
      <c r="D5" s="82">
        <f ca="1">IFERROR(RATE(Premissas!$C$23,0,-$C$29,Projeções!$H$8*$B5-$H$35),"n/d")</f>
        <v>0.13318412022438578</v>
      </c>
      <c r="E5" s="84">
        <f ca="1">IFERROR(RATE(Premissas!$C$23,0,-$C$39,Projeções!$H$8*$B5-$H$45),"n/d")</f>
        <v>0.14396664958380254</v>
      </c>
      <c r="F5" s="82">
        <f ca="1">IFERROR(RATE(Premissas!$C$23,0,-$C$49,Projeções!$H$8*$B5-$H$55),"n/d")</f>
        <v>0.16646346320499483</v>
      </c>
      <c r="G5" s="82">
        <f ca="1">IFERROR(RATE(Premissas!$C$23,0,-$C$59,Projeções!$H$8*$B5-$H$65),"n/d")</f>
        <v>0.21527438190628206</v>
      </c>
    </row>
    <row r="6" spans="1:8" x14ac:dyDescent="0.3">
      <c r="B6" s="81">
        <v>5.75</v>
      </c>
      <c r="C6" s="82">
        <f ca="1">IFERROR(RATE(Premissas!$C$23,0,-$C$19,Projeções!$H$8*$B6-$H$25),"n/d")</f>
        <v>0.15700872370304736</v>
      </c>
      <c r="D6" s="82">
        <f ca="1">IFERROR(RATE(Premissas!$C$23,0,-$C$29,Projeções!$H$8*$B6-$H$35),"n/d")</f>
        <v>0.16820042092998896</v>
      </c>
      <c r="E6" s="84">
        <f ca="1">IFERROR(RATE(Premissas!$C$23,0,-$C$39,Projeções!$H$8*$B6-$H$45),"n/d")</f>
        <v>0.18616394294836944</v>
      </c>
      <c r="F6" s="82">
        <f ca="1">IFERROR(RATE(Premissas!$C$23,0,-$C$49,Projeções!$H$8*$B6-$H$55),"n/d")</f>
        <v>0.21884653450443742</v>
      </c>
      <c r="G6" s="82">
        <f ca="1">IFERROR(RATE(Premissas!$C$23,0,-$C$59,Projeções!$H$8*$B6-$H$65),"n/d")</f>
        <v>0.28358209939003498</v>
      </c>
    </row>
    <row r="7" spans="1:8" x14ac:dyDescent="0.3">
      <c r="B7" s="86">
        <v>6.25</v>
      </c>
      <c r="C7" s="82">
        <f ca="1">IFERROR(RATE(Premissas!$C$23,0,-$C$19,Projeções!$H$8*$B7-$H$25),"n/d")</f>
        <v>0.18402987405614582</v>
      </c>
      <c r="D7" s="82">
        <f ca="1">IFERROR(RATE(Premissas!$C$23,0,-$C$29,Projeções!$H$8*$B7-$H$35),"n/d")</f>
        <v>0.19946108677131713</v>
      </c>
      <c r="E7" s="85">
        <f ca="1">IFERROR(RATE(Premissas!$C$23,0,-$C$39,Projeções!$H$8*$B7-$H$45),"n/d")</f>
        <v>0.22309185434849943</v>
      </c>
      <c r="F7" s="82">
        <f ca="1">IFERROR(RATE(Premissas!$C$23,0,-$C$49,Projeções!$H$8*$B7-$H$55),"n/d")</f>
        <v>0.26351947153067989</v>
      </c>
      <c r="G7" s="82">
        <f ca="1">IFERROR(RATE(Premissas!$C$23,0,-$C$59,Projeções!$H$8*$B7-$H$65),"n/d")</f>
        <v>0.33984335308400415</v>
      </c>
    </row>
    <row r="8" spans="1:8" x14ac:dyDescent="0.3">
      <c r="B8" s="81">
        <v>6.75</v>
      </c>
      <c r="C8" s="82">
        <f ca="1">IFERROR(RATE(Premissas!$C$23,0,-$C$19,Projeções!$H$8*$B8-$H$25),"n/d")</f>
        <v>0.208788246870108</v>
      </c>
      <c r="D8" s="82">
        <f ca="1">IFERROR(RATE(Premissas!$C$23,0,-$C$29,Projeções!$H$8*$B8-$H$35),"n/d")</f>
        <v>0.2277664044992348</v>
      </c>
      <c r="E8" s="84">
        <f ca="1">IFERROR(RATE(Premissas!$C$23,0,-$C$39,Projeções!$H$8*$B8-$H$45),"n/d")</f>
        <v>0.2560333445008422</v>
      </c>
      <c r="F8" s="82">
        <f ca="1">IFERROR(RATE(Premissas!$C$23,0,-$C$49,Projeções!$H$8*$B8-$H$55),"n/d")</f>
        <v>0.30264406229912272</v>
      </c>
      <c r="G8" s="82">
        <f ca="1">IFERROR(RATE(Premissas!$C$23,0,-$C$59,Projeções!$H$8*$B8-$H$65),"n/d")</f>
        <v>0.38798748982162096</v>
      </c>
    </row>
    <row r="9" spans="1:8" x14ac:dyDescent="0.3">
      <c r="B9" s="81">
        <v>7.25</v>
      </c>
      <c r="C9" s="82">
        <f ca="1">IFERROR(RATE(Premissas!$C$23,0,-$C$19,Projeções!$H$8*$B9-$H$25),"n/d")</f>
        <v>0.23167013511872248</v>
      </c>
      <c r="D9" s="82">
        <f ca="1">IFERROR(RATE(Premissas!$C$23,0,-$C$29,Projeções!$H$8*$B9-$H$35),"n/d")</f>
        <v>0.25367920322181958</v>
      </c>
      <c r="E9" s="84">
        <f ca="1">IFERROR(RATE(Premissas!$C$23,0,-$C$39,Projeções!$H$8*$B9-$H$45),"n/d")</f>
        <v>0.28584275973784595</v>
      </c>
      <c r="F9" s="82">
        <f ca="1">IFERROR(RATE(Premissas!$C$23,0,-$C$49,Projeções!$H$8*$B9-$H$55),"n/d")</f>
        <v>0.3375648390469691</v>
      </c>
      <c r="G9" s="82">
        <f ca="1">IFERROR(RATE(Premissas!$C$23,0,-$C$59,Projeções!$H$8*$B9-$H$65),"n/d")</f>
        <v>0.43025208242467483</v>
      </c>
    </row>
    <row r="12" spans="1:8" x14ac:dyDescent="0.3">
      <c r="B12" s="53" t="s">
        <v>140</v>
      </c>
    </row>
    <row r="15" spans="1:8" x14ac:dyDescent="0.3">
      <c r="A15" s="3" t="s">
        <v>126</v>
      </c>
      <c r="B15" s="3"/>
      <c r="C15" s="3"/>
      <c r="D15" s="3"/>
      <c r="E15" s="3"/>
      <c r="F15" s="3"/>
      <c r="G15" s="3"/>
      <c r="H15" s="3"/>
    </row>
    <row r="17" spans="1:8" x14ac:dyDescent="0.3">
      <c r="A17" s="74" t="s">
        <v>127</v>
      </c>
      <c r="B17" s="75"/>
      <c r="C17" s="76">
        <f>C$4</f>
        <v>3.5</v>
      </c>
      <c r="D17" s="77" t="s">
        <v>56</v>
      </c>
      <c r="E17" s="77" t="s">
        <v>57</v>
      </c>
      <c r="F17" s="77" t="s">
        <v>58</v>
      </c>
      <c r="G17" s="77" t="s">
        <v>59</v>
      </c>
      <c r="H17" s="78" t="s">
        <v>60</v>
      </c>
    </row>
    <row r="18" spans="1:8" x14ac:dyDescent="0.3">
      <c r="A18" s="63" t="s">
        <v>128</v>
      </c>
      <c r="C18" s="69">
        <f>C17*Premissas!$C$5</f>
        <v>7665000</v>
      </c>
      <c r="H18" s="67"/>
    </row>
    <row r="19" spans="1:8" x14ac:dyDescent="0.3">
      <c r="A19" s="63" t="s">
        <v>129</v>
      </c>
      <c r="C19" s="70">
        <f>'Sources &amp; Uses'!$C$15-C18</f>
        <v>6296250</v>
      </c>
      <c r="H19" s="67"/>
    </row>
    <row r="20" spans="1:8" x14ac:dyDescent="0.3">
      <c r="A20" s="63" t="s">
        <v>130</v>
      </c>
      <c r="D20" s="69">
        <f>$C$18</f>
        <v>7665000</v>
      </c>
      <c r="E20" s="69">
        <f ca="1">D25</f>
        <v>7497473.7228172626</v>
      </c>
      <c r="F20" s="69">
        <f ca="1">E25</f>
        <v>7195698.0924516385</v>
      </c>
      <c r="G20" s="69">
        <f ca="1">F25</f>
        <v>6744008.0862165792</v>
      </c>
      <c r="H20" s="71">
        <f ca="1">G25</f>
        <v>6123991.0474681193</v>
      </c>
    </row>
    <row r="21" spans="1:8" x14ac:dyDescent="0.3">
      <c r="A21" s="63" t="s">
        <v>131</v>
      </c>
      <c r="D21" s="69">
        <f ca="1">AVERAGE(D20,D25)*Premissas!$C$19</f>
        <v>1061373.1605972082</v>
      </c>
      <c r="E21" s="69">
        <f ca="1">AVERAGE(E20,E25)*Premissas!$C$19</f>
        <v>1028522.0270688229</v>
      </c>
      <c r="F21" s="69">
        <f ca="1">AVERAGE(F20,F25)*Premissas!$C$19</f>
        <v>975779.43250677513</v>
      </c>
      <c r="G21" s="69">
        <f ca="1">AVERAGE(G20,G25)*Premissas!$C$19</f>
        <v>900759.93935792882</v>
      </c>
      <c r="H21" s="71">
        <f ca="1">AVERAGE(H20,H25)*Premissas!$C$19</f>
        <v>800678.60215789452</v>
      </c>
    </row>
    <row r="22" spans="1:8" x14ac:dyDescent="0.3">
      <c r="A22" s="63" t="s">
        <v>132</v>
      </c>
      <c r="D22" s="69">
        <f ca="1">MAX(0,Projeções!D$11-D21)*Premissas!$C$29</f>
        <v>321369.51528864604</v>
      </c>
      <c r="E22" s="69">
        <f ca="1">MAX(0,Projeções!E$11-E21)*Premissas!$C$29</f>
        <v>387117.81187963282</v>
      </c>
      <c r="F22" s="69">
        <f ca="1">MAX(0,Projeções!F$11-F21)*Premissas!$C$29</f>
        <v>463995.51811737183</v>
      </c>
      <c r="G22" s="69">
        <f ca="1">MAX(0,Projeções!G$11-G21)*Premissas!$C$29</f>
        <v>553162.98780155345</v>
      </c>
      <c r="H22" s="71">
        <f ca="1">MAX(0,Projeções!H$11-H21)*Premissas!$C$29</f>
        <v>655944.35182422516</v>
      </c>
    </row>
    <row r="23" spans="1:8" x14ac:dyDescent="0.3">
      <c r="A23" s="63" t="s">
        <v>133</v>
      </c>
      <c r="D23" s="69">
        <f ca="1">Projeções!D$8+Projeções!D$14+Projeções!D$16-D21-D22+Projeções!D$20</f>
        <v>167526.27718273766</v>
      </c>
      <c r="E23" s="69">
        <f ca="1">Projeções!E$8+Projeções!E$14+Projeções!E$16-E21-E22+Projeções!E$20</f>
        <v>301775.6303656238</v>
      </c>
      <c r="F23" s="69">
        <f ca="1">Projeções!F$8+Projeções!F$14+Projeções!F$16-F21-F22+Projeções!F$20</f>
        <v>451690.006235059</v>
      </c>
      <c r="G23" s="69">
        <f ca="1">Projeções!G$8+Projeções!G$14+Projeções!G$16-G21-G22+Projeções!G$20</f>
        <v>620017.03874846012</v>
      </c>
      <c r="H23" s="71">
        <f ca="1">Projeções!H$8+Projeções!H$14+Projeções!H$16-H21-H22+Projeções!H$20</f>
        <v>809716.34982345835</v>
      </c>
    </row>
    <row r="24" spans="1:8" x14ac:dyDescent="0.3">
      <c r="A24" s="63" t="s">
        <v>134</v>
      </c>
      <c r="D24" s="69">
        <f ca="1">MIN(MAX(D23,0)*Premissas!$C$20,D20)</f>
        <v>167526.27718273766</v>
      </c>
      <c r="E24" s="69">
        <f ca="1">MIN(MAX(E23,0)*Premissas!$C$20,E20)</f>
        <v>301775.6303656238</v>
      </c>
      <c r="F24" s="69">
        <f ca="1">MIN(MAX(F23,0)*Premissas!$C$20,F20)</f>
        <v>451690.006235059</v>
      </c>
      <c r="G24" s="69">
        <f ca="1">MIN(MAX(G23,0)*Premissas!$C$20,G20)</f>
        <v>620017.03874846012</v>
      </c>
      <c r="H24" s="71">
        <f ca="1">MIN(MAX(H23,0)*Premissas!$C$20,H20)</f>
        <v>809716.34982345835</v>
      </c>
    </row>
    <row r="25" spans="1:8" x14ac:dyDescent="0.3">
      <c r="A25" s="72" t="s">
        <v>135</v>
      </c>
      <c r="B25" s="4"/>
      <c r="C25" s="4"/>
      <c r="D25" s="43">
        <f ca="1">D20-D24</f>
        <v>7497473.7228172626</v>
      </c>
      <c r="E25" s="43">
        <f ca="1">E20-E24</f>
        <v>7195698.0924516385</v>
      </c>
      <c r="F25" s="43">
        <f ca="1">F20-F24</f>
        <v>6744008.0862165792</v>
      </c>
      <c r="G25" s="43">
        <f ca="1">G20-G24</f>
        <v>6123991.0474681193</v>
      </c>
      <c r="H25" s="73">
        <f ca="1">H20-H24</f>
        <v>5314274.6976446612</v>
      </c>
    </row>
    <row r="27" spans="1:8" x14ac:dyDescent="0.3">
      <c r="A27" s="74" t="s">
        <v>136</v>
      </c>
      <c r="B27" s="75"/>
      <c r="C27" s="76">
        <f>D$4</f>
        <v>4</v>
      </c>
      <c r="D27" s="77" t="s">
        <v>56</v>
      </c>
      <c r="E27" s="77" t="s">
        <v>57</v>
      </c>
      <c r="F27" s="77" t="s">
        <v>58</v>
      </c>
      <c r="G27" s="77" t="s">
        <v>59</v>
      </c>
      <c r="H27" s="78" t="s">
        <v>60</v>
      </c>
    </row>
    <row r="28" spans="1:8" x14ac:dyDescent="0.3">
      <c r="A28" s="63" t="s">
        <v>128</v>
      </c>
      <c r="C28" s="69">
        <f>C27*Premissas!$C$5</f>
        <v>8760000</v>
      </c>
      <c r="H28" s="67"/>
    </row>
    <row r="29" spans="1:8" x14ac:dyDescent="0.3">
      <c r="A29" s="63" t="s">
        <v>129</v>
      </c>
      <c r="C29" s="70">
        <f>'Sources &amp; Uses'!$C$15-C28</f>
        <v>5201250</v>
      </c>
      <c r="H29" s="67"/>
    </row>
    <row r="30" spans="1:8" x14ac:dyDescent="0.3">
      <c r="A30" s="63" t="s">
        <v>130</v>
      </c>
      <c r="D30" s="69">
        <f>$C$28</f>
        <v>8760000</v>
      </c>
      <c r="E30" s="69">
        <f ca="1">D35</f>
        <v>8698552.565341901</v>
      </c>
      <c r="F30" s="69">
        <f ca="1">E35</f>
        <v>8513132.2348811589</v>
      </c>
      <c r="G30" s="69">
        <f ca="1">F35</f>
        <v>8189069.5244738283</v>
      </c>
      <c r="H30" s="71">
        <f ca="1">G35</f>
        <v>7709043.7594672106</v>
      </c>
    </row>
    <row r="31" spans="1:8" x14ac:dyDescent="0.3">
      <c r="A31" s="63" t="s">
        <v>131</v>
      </c>
      <c r="D31" s="69">
        <f ca="1">AVERAGE(D30,D35)*Premissas!$C$19</f>
        <v>1222098.6795739329</v>
      </c>
      <c r="E31" s="69">
        <f ca="1">AVERAGE(E30,E35)*Premissas!$C$19</f>
        <v>1204817.9360156141</v>
      </c>
      <c r="F31" s="69">
        <f ca="1">AVERAGE(F30,F35)*Premissas!$C$19</f>
        <v>1169154.1231548488</v>
      </c>
      <c r="G31" s="69">
        <f ca="1">AVERAGE(G30,G35)*Premissas!$C$19</f>
        <v>1112867.9298758726</v>
      </c>
      <c r="H31" s="71">
        <f ca="1">AVERAGE(H30,H35)*Premissas!$C$19</f>
        <v>1033334.6932460396</v>
      </c>
    </row>
    <row r="32" spans="1:8" x14ac:dyDescent="0.3">
      <c r="A32" s="63" t="s">
        <v>132</v>
      </c>
      <c r="D32" s="69">
        <f ca="1">MAX(0,Projeções!D$11-D31)*Premissas!$C$29</f>
        <v>266722.83883655962</v>
      </c>
      <c r="E32" s="69">
        <f ca="1">MAX(0,Projeções!E$11-E31)*Premissas!$C$29</f>
        <v>327177.20283772377</v>
      </c>
      <c r="F32" s="69">
        <f ca="1">MAX(0,Projeções!F$11-F31)*Premissas!$C$29</f>
        <v>398248.12329702673</v>
      </c>
      <c r="G32" s="69">
        <f ca="1">MAX(0,Projeções!G$11-G31)*Premissas!$C$29</f>
        <v>481046.27102545253</v>
      </c>
      <c r="H32" s="71">
        <f ca="1">MAX(0,Projeções!H$11-H31)*Premissas!$C$29</f>
        <v>576841.28085425578</v>
      </c>
    </row>
    <row r="33" spans="1:8" x14ac:dyDescent="0.3">
      <c r="A33" s="63" t="s">
        <v>133</v>
      </c>
      <c r="D33" s="69">
        <f ca="1">Projeções!D$8+Projeções!D$14+Projeções!D$16-D31-D32+Projeções!D$20</f>
        <v>61447.434658099373</v>
      </c>
      <c r="E33" s="69">
        <f ca="1">Projeções!E$8+Projeções!E$14+Projeções!E$16-E31-E32+Projeções!E$20</f>
        <v>185420.33046074165</v>
      </c>
      <c r="F33" s="69">
        <f ca="1">Projeções!F$8+Projeções!F$14+Projeções!F$16-F31-F32+Projeções!F$20</f>
        <v>324062.71040733054</v>
      </c>
      <c r="G33" s="69">
        <f ca="1">Projeções!G$8+Projeções!G$14+Projeções!G$16-G31-G32+Projeções!G$20</f>
        <v>480025.76500661741</v>
      </c>
      <c r="H33" s="71">
        <f ca="1">Projeções!H$8+Projeções!H$14+Projeções!H$16-H31-H32+Projeções!H$20</f>
        <v>656163.3297052827</v>
      </c>
    </row>
    <row r="34" spans="1:8" x14ac:dyDescent="0.3">
      <c r="A34" s="63" t="s">
        <v>134</v>
      </c>
      <c r="D34" s="69">
        <f ca="1">MIN(MAX(D33,0)*Premissas!$C$20,D30)</f>
        <v>61447.434658099373</v>
      </c>
      <c r="E34" s="69">
        <f ca="1">MIN(MAX(E33,0)*Premissas!$C$20,E30)</f>
        <v>185420.33046074165</v>
      </c>
      <c r="F34" s="69">
        <f ca="1">MIN(MAX(F33,0)*Premissas!$C$20,F30)</f>
        <v>324062.71040733054</v>
      </c>
      <c r="G34" s="69">
        <f ca="1">MIN(MAX(G33,0)*Premissas!$C$20,G30)</f>
        <v>480025.76500661741</v>
      </c>
      <c r="H34" s="71">
        <f ca="1">MIN(MAX(H33,0)*Premissas!$C$20,H30)</f>
        <v>656163.3297052827</v>
      </c>
    </row>
    <row r="35" spans="1:8" x14ac:dyDescent="0.3">
      <c r="A35" s="72" t="s">
        <v>135</v>
      </c>
      <c r="B35" s="4"/>
      <c r="C35" s="4"/>
      <c r="D35" s="43">
        <f ca="1">D30-D34</f>
        <v>8698552.565341901</v>
      </c>
      <c r="E35" s="43">
        <f ca="1">E30-E34</f>
        <v>8513132.2348811589</v>
      </c>
      <c r="F35" s="43">
        <f ca="1">F30-F34</f>
        <v>8189069.5244738283</v>
      </c>
      <c r="G35" s="43">
        <f ca="1">G30-G34</f>
        <v>7709043.7594672106</v>
      </c>
      <c r="H35" s="73">
        <f ca="1">H30-H34</f>
        <v>7052880.4297619276</v>
      </c>
    </row>
    <row r="37" spans="1:8" x14ac:dyDescent="0.3">
      <c r="A37" s="74" t="s">
        <v>137</v>
      </c>
      <c r="B37" s="75"/>
      <c r="C37" s="76">
        <f>E$4</f>
        <v>4.5</v>
      </c>
      <c r="D37" s="77" t="s">
        <v>56</v>
      </c>
      <c r="E37" s="77" t="s">
        <v>57</v>
      </c>
      <c r="F37" s="77" t="s">
        <v>58</v>
      </c>
      <c r="G37" s="77" t="s">
        <v>59</v>
      </c>
      <c r="H37" s="78" t="s">
        <v>60</v>
      </c>
    </row>
    <row r="38" spans="1:8" x14ac:dyDescent="0.3">
      <c r="A38" s="63" t="s">
        <v>128</v>
      </c>
      <c r="C38" s="69">
        <f>C37*Premissas!$C$5</f>
        <v>9855000</v>
      </c>
      <c r="H38" s="67"/>
    </row>
    <row r="39" spans="1:8" x14ac:dyDescent="0.3">
      <c r="A39" s="63" t="s">
        <v>129</v>
      </c>
      <c r="C39" s="70">
        <f>'Sources &amp; Uses'!$C$15-C38</f>
        <v>4106250</v>
      </c>
      <c r="H39" s="67"/>
    </row>
    <row r="40" spans="1:8" x14ac:dyDescent="0.3">
      <c r="A40" s="63" t="s">
        <v>130</v>
      </c>
      <c r="D40" s="69">
        <f>$C$38</f>
        <v>9855000</v>
      </c>
      <c r="E40" s="69">
        <f ca="1">D45</f>
        <v>9855000</v>
      </c>
      <c r="F40" s="69">
        <f ca="1">E45</f>
        <v>9781611.2725612838</v>
      </c>
      <c r="G40" s="69">
        <f ca="1">F45</f>
        <v>9580433.3001300953</v>
      </c>
      <c r="H40" s="71">
        <f ca="1">G45</f>
        <v>9235196.8126141876</v>
      </c>
    </row>
    <row r="41" spans="1:8" x14ac:dyDescent="0.3">
      <c r="A41" s="63" t="s">
        <v>131</v>
      </c>
      <c r="D41" s="69">
        <f ca="1">AVERAGE(D40,D45)*Premissas!$C$19</f>
        <v>1379699.9999999998</v>
      </c>
      <c r="E41" s="69">
        <f ca="1">AVERAGE(E40,E45)*Premissas!$C$19</f>
        <v>1374562.7890792897</v>
      </c>
      <c r="F41" s="69">
        <f ca="1">AVERAGE(F40,F45)*Premissas!$C$19</f>
        <v>1355343.1200883966</v>
      </c>
      <c r="G41" s="69">
        <f ca="1">AVERAGE(G40,G45)*Premissas!$C$19</f>
        <v>1317094.1078920998</v>
      </c>
      <c r="H41" s="71">
        <f ca="1">AVERAGE(H40,H45)*Premissas!$C$19</f>
        <v>1257345.4160816201</v>
      </c>
    </row>
    <row r="42" spans="1:8" x14ac:dyDescent="0.3">
      <c r="A42" s="63" t="s">
        <v>132</v>
      </c>
      <c r="D42" s="69">
        <f ca="1">MAX(0,Projeções!D$11-D41)*Premissas!$C$29</f>
        <v>213138.38989169686</v>
      </c>
      <c r="E42" s="69">
        <f ca="1">MAX(0,Projeções!E$11-E41)*Premissas!$C$29</f>
        <v>269463.9527960741</v>
      </c>
      <c r="F42" s="69">
        <f ca="1">MAX(0,Projeções!F$11-F41)*Premissas!$C$29</f>
        <v>334943.86433962052</v>
      </c>
      <c r="G42" s="69">
        <f ca="1">MAX(0,Projeções!G$11-G41)*Premissas!$C$29</f>
        <v>411609.37049993529</v>
      </c>
      <c r="H42" s="71">
        <f ca="1">MAX(0,Projeções!H$11-H41)*Premissas!$C$29</f>
        <v>500677.63509015838</v>
      </c>
    </row>
    <row r="43" spans="1:8" x14ac:dyDescent="0.3">
      <c r="A43" s="63" t="s">
        <v>133</v>
      </c>
      <c r="D43" s="69">
        <f ca="1">Projeções!D$8+Projeções!D$14+Projeções!D$16-D41-D42+Projeções!D$20</f>
        <v>-42569.436823104741</v>
      </c>
      <c r="E43" s="69">
        <f ca="1">Projeções!E$8+Projeções!E$14+Projeções!E$16-E41-E42+Projeções!E$20</f>
        <v>73388.727438715752</v>
      </c>
      <c r="F43" s="69">
        <f ca="1">Projeções!F$8+Projeções!F$14+Projeções!F$16-F41-F42+Projeções!F$20</f>
        <v>201177.97243118897</v>
      </c>
      <c r="G43" s="69">
        <f ca="1">Projeções!G$8+Projeções!G$14+Projeções!G$16-G41-G42+Projeções!G$20</f>
        <v>345236.48751590744</v>
      </c>
      <c r="H43" s="71">
        <f ca="1">Projeções!H$8+Projeções!H$14+Projeções!H$16-H41-H42+Projeções!H$20</f>
        <v>508316.25263379957</v>
      </c>
    </row>
    <row r="44" spans="1:8" x14ac:dyDescent="0.3">
      <c r="A44" s="63" t="s">
        <v>134</v>
      </c>
      <c r="D44" s="69">
        <f ca="1">MIN(MAX(D43,0)*Premissas!$C$20,D40)</f>
        <v>0</v>
      </c>
      <c r="E44" s="69">
        <f ca="1">MIN(MAX(E43,0)*Premissas!$C$20,E40)</f>
        <v>73388.727438715752</v>
      </c>
      <c r="F44" s="69">
        <f ca="1">MIN(MAX(F43,0)*Premissas!$C$20,F40)</f>
        <v>201177.97243118897</v>
      </c>
      <c r="G44" s="69">
        <f ca="1">MIN(MAX(G43,0)*Premissas!$C$20,G40)</f>
        <v>345236.48751590744</v>
      </c>
      <c r="H44" s="71">
        <f ca="1">MIN(MAX(H43,0)*Premissas!$C$20,H40)</f>
        <v>508316.25263379957</v>
      </c>
    </row>
    <row r="45" spans="1:8" x14ac:dyDescent="0.3">
      <c r="A45" s="72" t="s">
        <v>135</v>
      </c>
      <c r="B45" s="4"/>
      <c r="C45" s="4"/>
      <c r="D45" s="43">
        <f ca="1">D40-D44</f>
        <v>9855000</v>
      </c>
      <c r="E45" s="43">
        <f ca="1">E40-E44</f>
        <v>9781611.2725612838</v>
      </c>
      <c r="F45" s="43">
        <f ca="1">F40-F44</f>
        <v>9580433.3001300953</v>
      </c>
      <c r="G45" s="43">
        <f ca="1">G40-G44</f>
        <v>9235196.8126141876</v>
      </c>
      <c r="H45" s="73">
        <f ca="1">H40-H44</f>
        <v>8726880.5599803887</v>
      </c>
    </row>
    <row r="47" spans="1:8" x14ac:dyDescent="0.3">
      <c r="A47" s="74" t="s">
        <v>138</v>
      </c>
      <c r="B47" s="75"/>
      <c r="C47" s="76">
        <f>F$4</f>
        <v>5</v>
      </c>
      <c r="D47" s="77" t="s">
        <v>56</v>
      </c>
      <c r="E47" s="77" t="s">
        <v>57</v>
      </c>
      <c r="F47" s="77" t="s">
        <v>58</v>
      </c>
      <c r="G47" s="77" t="s">
        <v>59</v>
      </c>
      <c r="H47" s="78" t="s">
        <v>60</v>
      </c>
    </row>
    <row r="48" spans="1:8" x14ac:dyDescent="0.3">
      <c r="A48" s="63" t="s">
        <v>128</v>
      </c>
      <c r="C48" s="69">
        <f>C47*Premissas!$C$5</f>
        <v>10950000</v>
      </c>
      <c r="H48" s="67"/>
    </row>
    <row r="49" spans="1:8" x14ac:dyDescent="0.3">
      <c r="A49" s="63" t="s">
        <v>129</v>
      </c>
      <c r="C49" s="70">
        <f>'Sources &amp; Uses'!$C$15-C48</f>
        <v>3011250</v>
      </c>
      <c r="H49" s="67"/>
    </row>
    <row r="50" spans="1:8" x14ac:dyDescent="0.3">
      <c r="A50" s="63" t="s">
        <v>130</v>
      </c>
      <c r="D50" s="69">
        <f>$C$48</f>
        <v>10950000</v>
      </c>
      <c r="E50" s="69">
        <f ca="1">D55</f>
        <v>10950000</v>
      </c>
      <c r="F50" s="69">
        <f ca="1">E55</f>
        <v>10950000</v>
      </c>
      <c r="G50" s="69">
        <f ca="1">F55</f>
        <v>10862010.451153774</v>
      </c>
      <c r="H50" s="71">
        <f ca="1">G55</f>
        <v>10640927.589927012</v>
      </c>
    </row>
    <row r="51" spans="1:8" x14ac:dyDescent="0.3">
      <c r="A51" s="63" t="s">
        <v>131</v>
      </c>
      <c r="D51" s="69">
        <f ca="1">AVERAGE(D50,D55)*Premissas!$C$19</f>
        <v>1532999.9999999998</v>
      </c>
      <c r="E51" s="69">
        <f ca="1">AVERAGE(E50,E55)*Premissas!$C$19</f>
        <v>1532999.9999999998</v>
      </c>
      <c r="F51" s="69">
        <f ca="1">AVERAGE(F50,F55)*Premissas!$C$19</f>
        <v>1526840.7315807641</v>
      </c>
      <c r="G51" s="69">
        <f ca="1">AVERAGE(G50,G55)*Premissas!$C$19</f>
        <v>1505205.6628756549</v>
      </c>
      <c r="H51" s="71">
        <f ca="1">AVERAGE(H50,H55)*Premissas!$C$19</f>
        <v>1463680.4012187512</v>
      </c>
    </row>
    <row r="52" spans="1:8" x14ac:dyDescent="0.3">
      <c r="A52" s="63" t="s">
        <v>132</v>
      </c>
      <c r="D52" s="69">
        <f ca="1">MAX(0,Projeções!D$11-D51)*Premissas!$C$29</f>
        <v>161016.38989169686</v>
      </c>
      <c r="E52" s="69">
        <f ca="1">MAX(0,Projeções!E$11-E51)*Premissas!$C$29</f>
        <v>215595.30108303265</v>
      </c>
      <c r="F52" s="69">
        <f ca="1">MAX(0,Projeções!F$11-F51)*Premissas!$C$29</f>
        <v>276634.67643221555</v>
      </c>
      <c r="G52" s="69">
        <f ca="1">MAX(0,Projeções!G$11-G51)*Premissas!$C$29</f>
        <v>347651.44180552656</v>
      </c>
      <c r="H52" s="71">
        <f ca="1">MAX(0,Projeções!H$11-H51)*Premissas!$C$29</f>
        <v>430523.7401435338</v>
      </c>
    </row>
    <row r="53" spans="1:8" x14ac:dyDescent="0.3">
      <c r="A53" s="63" t="s">
        <v>133</v>
      </c>
      <c r="D53" s="69">
        <f ca="1">Projeções!D$8+Projeções!D$14+Projeções!D$16-D51-D52+Projeções!D$20</f>
        <v>-143747.43682310474</v>
      </c>
      <c r="E53" s="69">
        <f ca="1">Projeções!E$8+Projeções!E$14+Projeções!E$16-E51-E52+Projeções!E$20</f>
        <v>-31179.831768952921</v>
      </c>
      <c r="F53" s="69">
        <f ca="1">Projeções!F$8+Projeções!F$14+Projeções!F$16-F51-F52+Projeções!F$20</f>
        <v>87989.548846226477</v>
      </c>
      <c r="G53" s="69">
        <f ca="1">Projeções!G$8+Projeções!G$14+Projeções!G$16-G51-G52+Projeções!G$20</f>
        <v>221082.86122676107</v>
      </c>
      <c r="H53" s="71">
        <f ca="1">Projeções!H$8+Projeções!H$14+Projeções!H$16-H51-H52+Projeções!H$20</f>
        <v>372135.16244329303</v>
      </c>
    </row>
    <row r="54" spans="1:8" x14ac:dyDescent="0.3">
      <c r="A54" s="63" t="s">
        <v>134</v>
      </c>
      <c r="D54" s="69">
        <f ca="1">MIN(MAX(D53,0)*Premissas!$C$20,D50)</f>
        <v>0</v>
      </c>
      <c r="E54" s="69">
        <f ca="1">MIN(MAX(E53,0)*Premissas!$C$20,E50)</f>
        <v>0</v>
      </c>
      <c r="F54" s="69">
        <f ca="1">MIN(MAX(F53,0)*Premissas!$C$20,F50)</f>
        <v>87989.548846226477</v>
      </c>
      <c r="G54" s="69">
        <f ca="1">MIN(MAX(G53,0)*Premissas!$C$20,G50)</f>
        <v>221082.86122676107</v>
      </c>
      <c r="H54" s="71">
        <f ca="1">MIN(MAX(H53,0)*Premissas!$C$20,H50)</f>
        <v>372135.16244329303</v>
      </c>
    </row>
    <row r="55" spans="1:8" x14ac:dyDescent="0.3">
      <c r="A55" s="72" t="s">
        <v>135</v>
      </c>
      <c r="B55" s="4"/>
      <c r="C55" s="4"/>
      <c r="D55" s="43">
        <f ca="1">D50-D54</f>
        <v>10950000</v>
      </c>
      <c r="E55" s="43">
        <f ca="1">E50-E54</f>
        <v>10950000</v>
      </c>
      <c r="F55" s="43">
        <f ca="1">F50-F54</f>
        <v>10862010.451153774</v>
      </c>
      <c r="G55" s="43">
        <f ca="1">G50-G54</f>
        <v>10640927.589927012</v>
      </c>
      <c r="H55" s="73">
        <f ca="1">H50-H54</f>
        <v>10268792.427483719</v>
      </c>
    </row>
    <row r="57" spans="1:8" x14ac:dyDescent="0.3">
      <c r="A57" s="74" t="s">
        <v>139</v>
      </c>
      <c r="B57" s="75"/>
      <c r="C57" s="76">
        <f>G$4</f>
        <v>5.5</v>
      </c>
      <c r="D57" s="77" t="s">
        <v>56</v>
      </c>
      <c r="E57" s="77" t="s">
        <v>57</v>
      </c>
      <c r="F57" s="77" t="s">
        <v>58</v>
      </c>
      <c r="G57" s="77" t="s">
        <v>59</v>
      </c>
      <c r="H57" s="78" t="s">
        <v>60</v>
      </c>
    </row>
    <row r="58" spans="1:8" x14ac:dyDescent="0.3">
      <c r="A58" s="63" t="s">
        <v>128</v>
      </c>
      <c r="C58" s="69">
        <f>C57*Premissas!$C$5</f>
        <v>12045000</v>
      </c>
      <c r="H58" s="67"/>
    </row>
    <row r="59" spans="1:8" x14ac:dyDescent="0.3">
      <c r="A59" s="63" t="s">
        <v>129</v>
      </c>
      <c r="C59" s="70">
        <f>'Sources &amp; Uses'!$C$15-C58</f>
        <v>1916250</v>
      </c>
      <c r="H59" s="67"/>
    </row>
    <row r="60" spans="1:8" x14ac:dyDescent="0.3">
      <c r="A60" s="63" t="s">
        <v>130</v>
      </c>
      <c r="D60" s="69">
        <f>$C$58</f>
        <v>12045000</v>
      </c>
      <c r="E60" s="69">
        <f ca="1">D65</f>
        <v>12045000</v>
      </c>
      <c r="F60" s="69">
        <f ca="1">E65</f>
        <v>12045000</v>
      </c>
      <c r="G60" s="69">
        <f ca="1">F65</f>
        <v>12045000</v>
      </c>
      <c r="H60" s="71">
        <f ca="1">G65</f>
        <v>11938520.026499588</v>
      </c>
    </row>
    <row r="61" spans="1:8" x14ac:dyDescent="0.3">
      <c r="A61" s="63" t="s">
        <v>131</v>
      </c>
      <c r="D61" s="69">
        <f ca="1">AVERAGE(D60,D65)*Premissas!$C$19</f>
        <v>1686299.9999999998</v>
      </c>
      <c r="E61" s="69">
        <f ca="1">AVERAGE(E60,E65)*Premissas!$C$19</f>
        <v>1686299.9999999998</v>
      </c>
      <c r="F61" s="69">
        <f ca="1">AVERAGE(F60,F65)*Premissas!$C$19</f>
        <v>1686299.9999999998</v>
      </c>
      <c r="G61" s="69">
        <f ca="1">AVERAGE(G60,G65)*Premissas!$C$19</f>
        <v>1678846.401854971</v>
      </c>
      <c r="H61" s="71">
        <f ca="1">AVERAGE(H60,H65)*Premissas!$C$19</f>
        <v>1654142.7005688881</v>
      </c>
    </row>
    <row r="62" spans="1:8" x14ac:dyDescent="0.3">
      <c r="A62" s="63" t="s">
        <v>132</v>
      </c>
      <c r="D62" s="69">
        <f ca="1">MAX(0,Projeções!D$11-D61)*Premissas!$C$29</f>
        <v>108894.38989169686</v>
      </c>
      <c r="E62" s="69">
        <f ca="1">MAX(0,Projeções!E$11-E61)*Premissas!$C$29</f>
        <v>163473.30108303262</v>
      </c>
      <c r="F62" s="69">
        <f ca="1">MAX(0,Projeções!F$11-F61)*Premissas!$C$29</f>
        <v>222418.52516967541</v>
      </c>
      <c r="G62" s="69">
        <f ca="1">MAX(0,Projeções!G$11-G61)*Premissas!$C$29</f>
        <v>288613.59055255906</v>
      </c>
      <c r="H62" s="71">
        <f ca="1">MAX(0,Projeções!H$11-H61)*Premissas!$C$29</f>
        <v>365766.55836448725</v>
      </c>
    </row>
    <row r="63" spans="1:8" x14ac:dyDescent="0.3">
      <c r="A63" s="63" t="s">
        <v>133</v>
      </c>
      <c r="D63" s="69">
        <f ca="1">Projeções!D$8+Projeções!D$14+Projeções!D$16-D61-D62+Projeções!D$20</f>
        <v>-244925.43682310474</v>
      </c>
      <c r="E63" s="69">
        <f ca="1">Projeções!E$8+Projeções!E$14+Projeções!E$16-E61-E62+Projeções!E$20</f>
        <v>-132357.83176895289</v>
      </c>
      <c r="F63" s="69">
        <f ca="1">Projeções!F$8+Projeções!F$14+Projeções!F$16-F61-F62+Projeções!F$20</f>
        <v>-17253.568310469098</v>
      </c>
      <c r="G63" s="69">
        <f ca="1">Projeções!G$8+Projeções!G$14+Projeções!G$16-G61-G62+Projeções!G$20</f>
        <v>106479.97350041248</v>
      </c>
      <c r="H63" s="71">
        <f ca="1">Projeções!H$8+Projeções!H$14+Projeções!H$16-H61-H62+Projeções!H$20</f>
        <v>246430.04487220268</v>
      </c>
    </row>
    <row r="64" spans="1:8" x14ac:dyDescent="0.3">
      <c r="A64" s="63" t="s">
        <v>134</v>
      </c>
      <c r="D64" s="69">
        <f ca="1">MIN(MAX(D63,0)*Premissas!$C$20,D60)</f>
        <v>0</v>
      </c>
      <c r="E64" s="69">
        <f ca="1">MIN(MAX(E63,0)*Premissas!$C$20,E60)</f>
        <v>0</v>
      </c>
      <c r="F64" s="69">
        <f ca="1">MIN(MAX(F63,0)*Premissas!$C$20,F60)</f>
        <v>0</v>
      </c>
      <c r="G64" s="69">
        <f ca="1">MIN(MAX(G63,0)*Premissas!$C$20,G60)</f>
        <v>106479.97350041248</v>
      </c>
      <c r="H64" s="71">
        <f ca="1">MIN(MAX(H63,0)*Premissas!$C$20,H60)</f>
        <v>246430.04487220268</v>
      </c>
    </row>
    <row r="65" spans="1:8" x14ac:dyDescent="0.3">
      <c r="A65" s="72" t="s">
        <v>135</v>
      </c>
      <c r="B65" s="4"/>
      <c r="C65" s="4"/>
      <c r="D65" s="43">
        <f ca="1">D60-D64</f>
        <v>12045000</v>
      </c>
      <c r="E65" s="43">
        <f ca="1">E60-E64</f>
        <v>12045000</v>
      </c>
      <c r="F65" s="43">
        <f ca="1">F60-F64</f>
        <v>12045000</v>
      </c>
      <c r="G65" s="43">
        <f ca="1">G60-G64</f>
        <v>11938520.026499588</v>
      </c>
      <c r="H65" s="73">
        <f ca="1">H60-H64</f>
        <v>11692089.981627386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Premissas</vt:lpstr>
      <vt:lpstr>Sources &amp; Uses</vt:lpstr>
      <vt:lpstr>Projeções</vt:lpstr>
      <vt:lpstr>Debt Schedule</vt:lpstr>
      <vt:lpstr>Saída</vt:lpstr>
      <vt:lpstr>Retorno</vt:lpstr>
      <vt:lpstr>Sensibilidade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Wall</dc:creator>
  <cp:lastModifiedBy>The Wall</cp:lastModifiedBy>
  <dcterms:created xsi:type="dcterms:W3CDTF">2026-07-24T19:53:09Z</dcterms:created>
  <dcterms:modified xsi:type="dcterms:W3CDTF">2026-07-28T19:41:11Z</dcterms:modified>
</cp:coreProperties>
</file>